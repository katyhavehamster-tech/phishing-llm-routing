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1"/>
  <sheetViews>
    <sheetView workbookViewId="0">
      <selection activeCell="A1" sqref="A1"/>
    </sheetView>
  </sheetViews>
  <sheetFormatPr baseColWidth="8" defaultRowHeight="15"/>
  <sheetData>
    <row r="1">
      <c r="A1" s="1" t="inlineStr">
        <is>
          <t>id</t>
        </is>
      </c>
      <c r="B1" s="1" t="inlineStr">
        <is>
          <t>text</t>
        </is>
      </c>
      <c r="C1" s="1" t="inlineStr">
        <is>
          <t>label</t>
        </is>
      </c>
      <c r="D1" s="1" t="inlineStr">
        <is>
          <t>sender</t>
        </is>
      </c>
      <c r="E1" s="1" t="inlineStr">
        <is>
          <t>receiver</t>
        </is>
      </c>
      <c r="F1" s="1" t="inlineStr">
        <is>
          <t>date</t>
        </is>
      </c>
      <c r="G1" s="1" t="inlineStr">
        <is>
          <t>subject</t>
        </is>
      </c>
      <c r="H1" s="1" t="inlineStr">
        <is>
          <t>body</t>
        </is>
      </c>
      <c r="I1" s="1" t="inlineStr">
        <is>
          <t>Джерело</t>
        </is>
      </c>
    </row>
    <row r="2">
      <c r="A2" t="n">
        <v>1</v>
      </c>
      <c r="B2" t="inlineStr">
        <is>
          <t>AVAST SECURITY ALERT. WARNING!!!  Dear jose@monkey.org  Your mailbox has been been infected with a deadly virus.  This can cause total email shutdown or data loss.  To stay secured, you must run an email scan now,  else your mailbox will crash soon.        Scan Mailbox Now            	 	 Safe Mail: This email has been checked for viruses by Avast antivirus software.  http://jmagalhaes.com/cache/mod/Avast/Coded/index.php?email=jose@monkey.org"&gt;www.avast.com  WARNING!!! Dear jose@monkey.org  Your mailbox has been been infected with a deadly virus. This can cause total email shutdown or data loss. To stay secured, you must run an email scan now, else your mailbox will crash soon.  Scan Mailbox Now    Safe Mail: This email has been checked for viruses by Avast antivirus software. http://jmagalhaes.com/cache/mod/Avast/Coded/index.php?email=jose@monkey.org"&gt;www.avast.com</t>
        </is>
      </c>
      <c r="C2" t="n">
        <v>1</v>
      </c>
      <c r="D2" t="inlineStr">
        <is>
          <t>Avast AntiVirus &lt;ops.kpa@intralineshipping.com&gt;</t>
        </is>
      </c>
      <c r="E2" t="inlineStr">
        <is>
          <t>jose@monkey.org</t>
        </is>
      </c>
      <c r="F2" t="inlineStr">
        <is>
          <t>Tue, 23 Aug 2016 20:57:51 +0100</t>
        </is>
      </c>
      <c r="G2" t="inlineStr">
        <is>
          <t>AVAST SECURITY ALERT</t>
        </is>
      </c>
      <c r="H2" t="inlineStr">
        <is>
          <t>WARNING!!!  Dear jose@monkey.org  Your mailbox has been been infected with a deadly virus.  This can cause total email shutdown or data loss.  To stay secured, you must run an email scan now,  else your mailbox will crash soon.        Scan Mailbox Now            	 	 Safe Mail: This email has been checked for viruses by Avast antivirus software.  http://jmagalhaes.com/cache/mod/Avast/Coded/index.php?email=jose@monkey.org"&gt;www.avast.com  WARNING!!! Dear jose@monkey.org  Your mailbox has been been infected with a deadly virus. This can cause total email shutdown or data loss. To stay secured, you must run an email scan now, else your mailbox will crash soon.  Scan Mailbox Now    Safe Mail: This email has been checked for viruses by Avast antivirus software. http://jmagalhaes.com/cache/mod/Avast/Coded/index.php?email=jose@monkey.org"&gt;www.avast.com</t>
        </is>
      </c>
      <c r="I2" t="inlineStr">
        <is>
          <t>Nazario phishing corpus (J. Nazario); файл Nazario.csv, рядок 329. Champa A. I., Rabbi M. F., Zibran M. F. Phishing Email Curated Datasets. Zenodo, 2023. DOI: 10.5281/zenodo.8339691</t>
        </is>
      </c>
    </row>
    <row r="3">
      <c r="A3" t="n">
        <v>2</v>
      </c>
      <c r="B3" t="inlineStr">
        <is>
          <t>meter 986296. scherlyn , per our conversation here is the meter 986296 , and the months of
feb and march this meter needs to go to the 012 - 41500 - 02 - 015 contract .
thank you sherlyn . let me know and i ' ll enter the new track id ' s . tom .</t>
        </is>
      </c>
      <c r="C3" t="n">
        <v>0</v>
      </c>
      <c r="D3" t="inlineStr"/>
      <c r="E3" t="inlineStr"/>
      <c r="F3" t="inlineStr"/>
      <c r="G3" t="inlineStr">
        <is>
          <t>meter 986296</t>
        </is>
      </c>
      <c r="H3" t="inlineStr">
        <is>
          <t>scherlyn , per our conversation here is the meter 986296 , and the months of
feb and march this meter needs to go to the 012 - 41500 - 02 - 015 contract .
thank you sherlyn . let me know and i ' ll enter the new track id ' s . tom .</t>
        </is>
      </c>
      <c r="I3" t="inlineStr">
        <is>
          <t>Enron (легітимні листи, label 0); файл Enron.csv, рядок 2165. Champa A. I., Rabbi M. F., Zibran M. F. Phishing Email Curated Datasets. Zenodo, 2023. DOI: 10.5281/zenodo.8339691</t>
        </is>
      </c>
    </row>
    <row r="4">
      <c r="A4" t="n">
        <v>3</v>
      </c>
      <c r="B4" t="inlineStr">
        <is>
          <t>Your account has been Iimited [# 02063321102]. _____PayPaI_____ ______________________________________________        U13478p57740d7321a86797t53078e65932 71927y28830o54927u47532r94569 86145a31699c48195c80335o32745u15373n96049t87587 i62236n11440f18234o69424r95888m41466a83898t18080i17045o9386n328 D77162e88214a41654r56262 55860C7707u38517s93041t93959o22136m42656e67193r73249,81828 O30153u20379r4526 86558s23339y86050s39743t99696e15667m52071 57443h26844a74739s651 46991d82166e9884t53478e59832c50697t34831e83978d89128 87687u26077n26732s5109u41064a47697l63109 52285c77849h83488a56811r64408g6827e42861s4151 6523a58528 56222c63965r85371e30962d64615i32363t13128 74499c85841a72960r25197d20672 56938l14326i8360n83015k41057e13469d24079 88753t76577o76364 66603y60065o33175u31011r66891 76035P35162a73413y34564P91384a37379l19935 22346a1995c52298c35474o76494u38139n8434t1692 58811 Reference Number: # PP-621-230-69 What do I need to do? L8972o45787g54304i13239n78004 29333t83897o78628 56809P59478a66655y95333P29940a78347l86302 30428a35709s42083 96557s37071o11393o24626n20718 82284a4028s805 12975p44734o27927s26556s70549i36898b72342l24854e50136 50347,54186 34034o28975n10996c93512e95630 6329y23452o73977u92631 53879w9687i34714l50436l46757 46107c75062o67475n28391n79090e68279c41366t23824 96205,67921 94373w33104e40264 19227w83240i90611l73413l17274 19587p84408r10787o15218v90737i34238d89194e83369 88116m98881e18083a38553s45638u64190r13615e13113s92581 92705t81391o33948 16529r77597e1869s10902t10701o42133r30129e93940 32745a3542c11215c52331e87949s22001s67548 78687t56239o56743 62056y44355o55624u80139r82908 1263 a44329c96523c14375o36911u89228n95766t70858.5758Then f72727o16659l84065l14861o46788w78005 47605t50329h89220e99936 38279s11222t67485e16966p67460s24229 79022t11816o79853 59161a94724c81115t3491i91247v95490a40401t80476e91256 11260y86233o64621u83986r2893 48686a98847c49680c26692o46452u10n15912t46388 .38288 2713T20301h83512a50800n9411k41891 y64885o52557u80284 89118f45961o56114r39670 93071y59552o64356u24990r52545 48039u93438n34449d85933e43439r53919s13041t41209a58888n39878d70850i47929n27593g86133 68229a11105s36933 77640w52996e1818 30197w33281o90936r76157k89395 30607t69229o48947 94962e94218n1493s43002u87656r35942e28935 31095t89860h41975e72304 48749s81852a43155f96678e9446t29288y64908 20551o66221f42548 73547o68038u72745r6828 customers.             Sincerely, P74300a90278y57159P69585a30052l45975 L85593o23504g60770i68141n1754 Now3002877162 ______________________________________________________________________________________________________________________ ______________________________________________________________________________________________________________________ Copyright © 2017 All rights reserved.</t>
        </is>
      </c>
      <c r="C4" t="n">
        <v>1</v>
      </c>
      <c r="D4" t="inlineStr">
        <is>
          <t>"Pay Pal .lnc" &lt;contact@salisburysappliances.co.uk&gt;</t>
        </is>
      </c>
      <c r="E4" t="inlineStr">
        <is>
          <t>jose@monkey.org</t>
        </is>
      </c>
      <c r="F4" t="inlineStr">
        <is>
          <t>Thu, 27 Jul 2017 23:36:53 +0000</t>
        </is>
      </c>
      <c r="G4" t="inlineStr">
        <is>
          <t>Your account has been Iimited [# 02063321102]</t>
        </is>
      </c>
      <c r="H4" t="inlineStr">
        <is>
          <t>_____PayPaI_____ ______________________________________________        U13478p57740d7321a86797t53078e65932 71927y28830o54927u47532r94569 86145a31699c48195c80335o32745u15373n96049t87587 i62236n11440f18234o69424r95888m41466a83898t18080i17045o9386n328 D77162e88214a41654r56262 55860C7707u38517s93041t93959o22136m42656e67193r73249,81828 O30153u20379r4526 86558s23339y86050s39743t99696e15667m52071 57443h26844a74739s651 46991d82166e9884t53478e59832c50697t34831e83978d89128 87687u26077n26732s5109u41064a47697l63109 52285c77849h83488a56811r64408g6827e42861s4151 6523a58528 56222c63965r85371e30962d64615i32363t13128 74499c85841a72960r25197d20672 56938l14326i8360n83015k41057e13469d24079 88753t76577o76364 66603y60065o33175u31011r66891 76035P35162a73413y34564P91384a37379l19935 22346a1995c52298c35474o76494u38139n8434t1692 58811 Reference Number: # PP-621-230-69 What do I need to do? L8972o45787g54304i13239n78004 29333t83897o78628 56809P59478a66655y95333P29940a78347l86302 30428a35709s42083 96557s37071o11393o24626n20718 82284a4028s805 12975p44734o27927s26556s70549i36898b72342l24854e50136 50347,54186 34034o28975n10996c93512e95630 6329y23452o73977u92631 53879w9687i34714l50436l46757 46107c75062o67475n28391n79090e68279c41366t23824 96205,67921 94373w33104e40264 19227w83240i90611l73413l17274 19587p84408r10787o15218v90737i34238d89194e83369 88116m98881e18083a38553s45638u64190r13615e13113s92581 92705t81391o33948 16529r77597e1869s10902t10701o42133r30129e93940 32745a3542c11215c52331e87949s22001s67548 78687t56239o56743 62056y44355o55624u80139r82908 1263 a44329c96523c14375o36911u89228n95766t70858.5758Then f72727o16659l84065l14861o46788w78005 47605t50329h89220e99936 38279s11222t67485e16966p67460s24229 79022t11816o79853 59161a94724c81115t3491i91247v95490a40401t80476e91256 11260y86233o64621u83986r2893 48686a98847c49680c26692o46452u10n15912t46388 .38288 2713T20301h83512a50800n9411k41891 y64885o52557u80284 89118f45961o56114r39670 93071y59552o64356u24990r52545 48039u93438n34449d85933e43439r53919s13041t41209a58888n39878d70850i47929n27593g86133 68229a11105s36933 77640w52996e1818 30197w33281o90936r76157k89395 30607t69229o48947 94962e94218n1493s43002u87656r35942e28935 31095t89860h41975e72304 48749s81852a43155f96678e9446t29288y64908 20551o66221f42548 73547o68038u72745r6828 customers.             Sincerely, P74300a90278y57159P69585a30052l45975 L85593o23504g60770i68141n1754 Now3002877162 ______________________________________________________________________________________________________________________ ______________________________________________________________________________________________________________________ Copyright © 2017 All rights reserved.</t>
        </is>
      </c>
      <c r="I4" t="inlineStr">
        <is>
          <t>Nazario phishing corpus (J. Nazario); файл Nazario.csv, рядок 638. Champa A. I., Rabbi M. F., Zibran M. F. Phishing Email Curated Datasets. Zenodo, 2023. DOI: 10.5281/zenodo.8339691</t>
        </is>
      </c>
    </row>
    <row r="5">
      <c r="A5" t="n">
        <v>4</v>
      </c>
      <c r="B5" t="inlineStr">
        <is>
          <t>fw : tenaska iv meeting list . xls. fyi . consider the meeting time shown in the attached as firm ; i ' ll work on the location and get back to you on it .
rh
- - - - - original message - - - - -
from : " motley , tom " @ enron [ mailto : imceanotes - + 22 motley + 2 c + 20 tom + 22 + 20 + 3 ctom + 2 emotley + 40 elpaso + 2 ecom + 3 e + 40 enron @ enron . com ]
sent : wednesday , june 20 , 2001 4 : 48 pm
to : hill , garrick
cc : field , david
subject : tenaska iv meeting list . xls
&gt;
this should be a fairly accurate list of those attending the various
meetings from elpaso . please make sure i got the times right .
this email and any files transmitted with it from the elpaso
corporation are confidential and intended solely for the
use of the individual or entity to whom they are addressed .
if you have received this email in error please notify the
sender .
- tenaska iv meeting list . xls</t>
        </is>
      </c>
      <c r="C5" t="n">
        <v>0</v>
      </c>
      <c r="D5" t="inlineStr"/>
      <c r="E5" t="inlineStr"/>
      <c r="F5" t="inlineStr"/>
      <c r="G5" t="inlineStr">
        <is>
          <t>fw : tenaska iv meeting list . xls</t>
        </is>
      </c>
      <c r="H5" t="inlineStr">
        <is>
          <t>fyi . consider the meeting time shown in the attached as firm ; i ' ll work on the location and get back to you on it .
rh
- - - - - original message - - - - -
from : " motley , tom " @ enron [ mailto : imceanotes - + 22 motley + 2 c + 20 tom + 22 + 20 + 3 ctom + 2 emotley + 40 elpaso + 2 ecom + 3 e + 40 enron @ enron . com ]
sent : wednesday , june 20 , 2001 4 : 48 pm
to : hill , garrick
cc : field , david
subject : tenaska iv meeting list . xls
&gt;
this should be a fairly accurate list of those attending the various
meetings from elpaso . please make sure i got the times right .
this email and any files transmitted with it from the elpaso
corporation are confidential and intended solely for the
use of the individual or entity to whom they are addressed .
if you have received this email in error please notify the
sender .
- tenaska iv meeting list . xls</t>
        </is>
      </c>
      <c r="I5" t="inlineStr">
        <is>
          <t>Enron (легітимні листи, label 0); файл Enron.csv, рядок 3186. Champa A. I., Rabbi M. F., Zibran M. F. Phishing Email Curated Datasets. Zenodo, 2023. DOI: 10.5281/zenodo.8339691</t>
        </is>
      </c>
    </row>
    <row r="6">
      <c r="A6" t="n">
        <v>5</v>
      </c>
      <c r="B6" t="inlineStr">
        <is>
          <t>real - time generation for saturday 6 / 9. group ,
the plan has slightly changed for submitting supplemental bids for our generators for saturday , 6 / 9 . the plan is as follows :
only submit supplemental bids for the generators if a stage 1 emergency is called . this is due to the iso ' s ability to ramp the units up and down every 10 minutes . we don ' t want to give them the ability to do this if there is not a stage 1 , 2 , or 3 emergency .
so , please try to sell the generators excess available output as an sc to sc trade . below is their preschedule , mw ' s available , minimum price threshold , and unit id ' s . also , attached is a sheet with all the contact names and phone # ' s . please save it and reference it when dealing with the generators .
harbor : harbgn _ 7 _ units
supps : 80 mw available , hel - 24 , saturday , for $ 140 .
sc trade : 80 mw available , spl 5 , saturday , above $ 125 .
delano : pandol _ 6 _ units
supps : 15 mw available , 30 mw prescheduled , total output equals 45 , hel - 24 , saturday , for $ 40 .
sc trade : 15 mw available , 30 mw prescheduled , total output equals 45 , spl 5 , saturday , above $ 40 .
wheelabrator martel : martel _ 2 _ amfor
supps : 6 mw available , 7 mw prescheduled , total output equals 13 , hel - 24 , friday and saturday , for $ 60 .
sc trade : 6 mw available , 7 mw prescheduled , total output equals 13 , npl 5 , friday and saturday , above $ 50 .
sierra pacific holding : we don ' t know their unit id because we ' re not their sc
supps : no supps , we are not their sc . the apx is their sc .
sc trade : 15 mw available , npl 5 , friday and saturday , above $ 60 .
if you have any questions don ' t hesitate to contact either chris foster or myself .
thanks ,
stan</t>
        </is>
      </c>
      <c r="C6" t="n">
        <v>0</v>
      </c>
      <c r="D6" t="inlineStr"/>
      <c r="E6" t="inlineStr"/>
      <c r="F6" t="inlineStr"/>
      <c r="G6" t="inlineStr">
        <is>
          <t>real - time generation for saturday 6 / 9</t>
        </is>
      </c>
      <c r="H6" t="inlineStr">
        <is>
          <t>group ,
the plan has slightly changed for submitting supplemental bids for our generators for saturday , 6 / 9 . the plan is as follows :
only submit supplemental bids for the generators if a stage 1 emergency is called . this is due to the iso ' s ability to ramp the units up and down every 10 minutes . we don ' t want to give them the ability to do this if there is not a stage 1 , 2 , or 3 emergency .
so , please try to sell the generators excess available output as an sc to sc trade . below is their preschedule , mw ' s available , minimum price threshold , and unit id ' s . also , attached is a sheet with all the contact names and phone # ' s . please save it and reference it when dealing with the generators .
harbor : harbgn _ 7 _ units
supps : 80 mw available , hel - 24 , saturday , for $ 140 .
sc trade : 80 mw available , spl 5 , saturday , above $ 125 .
delano : pandol _ 6 _ units
supps : 15 mw available , 30 mw prescheduled , total output equals 45 , hel - 24 , saturday , for $ 40 .
sc trade : 15 mw available , 30 mw prescheduled , total output equals 45 , spl 5 , saturday , above $ 40 .
wheelabrator martel : martel _ 2 _ amfor
supps : 6 mw available , 7 mw prescheduled , total output equals 13 , hel - 24 , friday and saturday , for $ 60 .
sc trade : 6 mw available , 7 mw prescheduled , total output equals 13 , npl 5 , friday and saturday , above $ 50 .
sierra pacific holding : we don ' t know their unit id because we ' re not their sc
supps : no supps , we are not their sc . the apx is their sc .
sc trade : 15 mw available , npl 5 , friday and saturday , above $ 60 .
if you have any questions don ' t hesitate to contact either chris foster or myself .
thanks ,
stan</t>
        </is>
      </c>
      <c r="I6" t="inlineStr">
        <is>
          <t>Enron (легітимні листи, label 0); файл Enron.csv, рядок 16647. Champa A. I., Rabbi M. F., Zibran M. F. Phishing Email Curated Datasets. Zenodo, 2023. DOI: 10.5281/zenodo.8339691</t>
        </is>
      </c>
    </row>
    <row r="7">
      <c r="A7" t="n">
        <v>6</v>
      </c>
      <c r="B7" t="inlineStr">
        <is>
          <t>fw : i want my mtv ?. here is that song created to the music of mtv and all about eol .
bt
- - - - - original message - - - - -
from : ward , kim s ( houston )
sent : friday , august 10 , 2001 9 : 35 am
to : ' kwardl @ houston . rr . com ' ; tycholiz , barry ; ermis , frank ; reitmeyer , jay ; arnold , john ; vann , suzanne ; polsky , phil
subject : fw : i want my mtv ?
- - - - - original message - - - - -
from : " melissa reese " @ enron [ mailto : imceanotes - + 22 melissa + 20 reese + 22 + 20 + 3 cmreese + 40 cmsenergy + 2 ecom + 3 e + 40 enron @ enron . com ]
sent : friday , august 10 , 2001 8 : 57 am
to : ward , kim s ( houston )
subject : fw : i want my mtv ?
funny
- - - - - - - - - - - - - - - - - - - - - - forwarded by melissa reese / mst / cms on 08 / 10 / 2001
09 : 00 am - - - - - - - - - - - - - - - - - - - - - - - - - - -
corey ayers
08 / 10 / 2001 08 : 39 am
to : sean e sasko / mst / cms @ cms , eric s crabtree / mst / cms @ cms , tim l
spurlin / mst / cms @ cms , patrick j grimes / mst / cms @ cms , curt j
lizzi / mst / cms @ cms , chadd moore / mst / cms @ cms , ken skaer / mst / cms @ cms ,
scott biscoe / mst / cms @ cms , melisa d richardson / mst / cms @ cms , melissa
reese / mst / cms @ cms
cc :
subject : fw : i want my mtv ?
this fits our conversation this morning
- - - - - - - - - - - - - - - - - - - - - - forwarded by corey ayers / mst / cms on 08 / 10 / 2001 08 : 41
am - - - - - - - - - - - - - - - - - - - - - - - - - - -
" johnson , todd " on 08 / 10 / 2001 08 : 33 : 39 am
to : " ' cayers @ cmsenergy . com ' "
cc : " ' stouchstone @ natsource . com ' "
subject : fw : i want my mtv ?
i want my , i want my eol
i want my , i want my eol
i want my , i want my eol
i want my , i want my eol
now look at them market makers ' s , that ' s the way you do it
you buy the nat gas on that eol
that ain ' t tradin ' , that ' s the way you do it
buying for nothin ' and your commissions for free
now that ain ' t tradin ' , that ' s the way you do it
lemme tell ya , them guys ain ' t dumb
maybe get a blister on your index finger
maybe get carpal tunnel
we got keep the spreads real tight
nationwide delivieries .
we got to move these molecules
we got to move these electricities
the enron trader with the fifteen flat screens
yeah , buying sellin ' , he don ' t care
that enron trader got his own jet airplane
that enron trader he ' s a millionaire
we got keep the spreads real tight
nationwide delivieries .
we got to move these molecules
we got to move these electricities .
i shoulda learned to get out on the web
i shoulda learned , they have it hyped in the press
look at that volume , they are the market share leader
i can ' t understand why the stock ' s under distress
and he ' s 50000 up there , what ' s that , no nymex noises
every one wants one , even dynegy .
oh , that ain ' t workin ' that ' s the way you do it
buyin ' for nothin ' get your commissions forf ree
i want my , i want my eol
i want my , i want my eol
i want my , i want my eol
this email and any files transmitted with it from the elpaso
corporation are confidential and intended solely for the
use of the individual or entity to whom they are addressed .
if you have received this email in error please notify the
sender .</t>
        </is>
      </c>
      <c r="C7" t="n">
        <v>0</v>
      </c>
      <c r="D7" t="inlineStr"/>
      <c r="E7" t="inlineStr"/>
      <c r="F7" t="inlineStr"/>
      <c r="G7" t="inlineStr">
        <is>
          <t>fw : i want my mtv ?</t>
        </is>
      </c>
      <c r="H7" t="inlineStr">
        <is>
          <t xml:space="preserve">here is that song created to the music of mtv and all about eol .
bt
- - - - - original message - - - - -
from : ward , kim s ( houston )
sent : friday , august 10 , 2001 9 : 35 am
to : ' kwardl @ houston . rr . com ' ; tycholiz , barry ; ermis , frank ; reitmeyer , jay ; arnold , john ; vann , suzanne ; polsky , phil
subject : fw : i want my mtv ?
- - - - - original message - - - - -
from : " melissa reese " @ enron [ mailto : imceanotes - + 22 melissa + 20 reese + 22 + 20 + 3 cmreese + 40 cmsenergy + 2 ecom + 3 e + 40 enron @ enron . com ]
sent : friday , august 10 , 2001 8 : 57 am
to : ward , kim s ( houston )
subject : fw : i want my mtv ?
funny
- - - - - - - - - - - - - - - - - - - - - - forwarded by melissa reese / mst / cms on 08 / 10 / 2001
09 : 00 am - - - - - - - - - - - - - - - - - - - - - - - - - - -
corey ayers
08 / 10 / 2001 08 : 39 am
to : sean e sasko / mst / cms @ cms , eric s crabtree / mst / cms @ cms , tim l
spurlin / mst / cms @ cms , patrick j grimes / mst / cms @ cms , curt j
lizzi / mst / cms @ cms , chadd moore / mst / cms @ cms , ken skaer / mst / cms @ cms ,
scott biscoe / mst / cms @ cms , melisa d richardson / mst / cms @ cms , melissa
reese / mst / cms @ cms
cc :
subject : fw : i want my mtv ?
this fits our conversation this morning
- - - - - - - - - - - - - - - - - - - - - - forwarded by corey ayers / mst / cms on 08 / 10 / 2001 08 : 41
am - - - - - - - - - - - - - - - - - - - - - - - - - - -
" johnson , todd " on 08 / 10 / 2001 08 : 33 : 39 am
to : " ' cayers @ cmsenergy . com ' "
cc : " ' stouchstone @ natsource . com ' "
subject : fw : i want my mtv ?
i want my , i want my eol
i want my , i want my eol
i want my , i want my eol
i want my , i want my eol
now look at them market makers ' s , that ' s the way you do it
you buy the nat gas on that eol
that ain ' t tradin ' , that ' s the way you do it
buying for nothin ' and your commissions for free
now that ain ' t tradin ' , that ' s the way you do it
lemme tell ya , them guys ain ' t dumb
maybe get a blister on your index finger
maybe get carpal tunnel
we got keep the spreads real tight
nationwide delivieries .
we got to move these molecules
we got to move these electricities
the enron trader with the fifteen flat screens
yeah , buying sellin ' , he don ' t care
that enron trader got his own jet airplane
that enron trader he ' s a millionaire
we got keep the spreads real tight
nationwide delivieries .
we got to move these molecules
we got to move these electricities .
i shoulda learned to get out on the web
i shoulda learned , they have it hyped in the press
look at that volume , they are the market share leader
i can ' t understand why the stock ' s under distress
and he ' s 50000 up there , what ' s that , no nymex noises
every one wants one , even dynegy .
oh , that ain ' t workin ' that ' s the way you do it
buyin ' for nothin ' get your commissions forf ree
i want my , i want my eol
i want my , i want my eol
i want my , i want my eol
this email and any files transmitted with it from the elpaso
corporation are confidential and intended solely for the
use of the individual or entity to whom they are addressed .
if you have received this email in error please notify the
sender .
</t>
        </is>
      </c>
      <c r="I7" t="inlineStr">
        <is>
          <t>Enron (легітимні листи, label 0); файл Enron.csv, рядок 13954. Champa A. I., Rabbi M. F., Zibran M. F. Phishing Email Curated Datasets. Zenodo, 2023. DOI: 10.5281/zenodo.8339691</t>
        </is>
      </c>
    </row>
    <row r="8">
      <c r="A8" t="n">
        <v>7</v>
      </c>
      <c r="B8">
        <f>?UTF-8?B?V2UgYXR0ZW1wdGVkIHRvIGRlbGl2ZXIgeW91ciBwYWNrYWdl?=. We missed you, when  trying to deliver .. Due to missing information,  we have been unable to deliver your parcel 15504880058988.We  require additional information should you choose to attempt redelivery,  as the address provided does not exist or cannot be found by our  delivery driver. Currently, your  parcel is being stored in our local depot. However, if action is not  taken by 15.09.2020, it will be returned to the sender.Please select  one of the following options: Change  my delivery now Follow my  parcel now   If you’d  like to contact us directly, please do not respond to this automated  email.Instead, contact us via our contact form. Kind  Regards© 2020 Interlink Europe Limited trading as DPD  Europe  This e-mail was sent to you by DPD Group. Please do not reply  directly to this address.</f>
        <v/>
      </c>
      <c r="C8" t="n">
        <v>1</v>
      </c>
      <c r="D8">
        <f>?UTF-8?B?RFBEIEdyb3Vw?= &lt;info@fuji-kico.co.jp&gt;</f>
        <v/>
      </c>
      <c r="E8" t="inlineStr">
        <is>
          <t>jose@monkey.org</t>
        </is>
      </c>
      <c r="F8" t="inlineStr">
        <is>
          <t>Sun, 13 Sep 2020 14:45:48 +0000</t>
        </is>
      </c>
      <c r="G8">
        <f>?UTF-8?B?V2UgYXR0ZW1wdGVkIHRvIGRlbGl2ZXIgeW91ciBwYWNrYWdl?=</f>
        <v/>
      </c>
      <c r="H8" t="inlineStr">
        <is>
          <t>We missed you, when  trying to deliver .. Due to missing information,  we have been unable to deliver your parcel 15504880058988.We  require additional information should you choose to attempt redelivery,  as the address provided does not exist or cannot be found by our  delivery driver. Currently, your  parcel is being stored in our local depot. However, if action is not  taken by 15.09.2020, it will be returned to the sender.Please select  one of the following options: Change  my delivery now Follow my  parcel now   If you’d  like to contact us directly, please do not respond to this automated  email.Instead, contact us via our contact form. Kind  Regards© 2020 Interlink Europe Limited trading as DPD  Europe  This e-mail was sent to you by DPD Group. Please do not reply  directly to this address.</t>
        </is>
      </c>
      <c r="I8" t="inlineStr">
        <is>
          <t>Nazario phishing corpus (J. Nazario); файл Nazario.csv, рядок 1254. Champa A. I., Rabbi M. F., Zibran M. F. Phishing Email Curated Datasets. Zenodo, 2023. DOI: 10.5281/zenodo.8339691</t>
        </is>
      </c>
    </row>
    <row r="9">
      <c r="A9" t="n">
        <v>8</v>
      </c>
      <c r="B9" t="inlineStr">
        <is>
          <t>Action Required on monkey.org. Email account monkey.org Server Congestion Dear jose, monkey.org sever is holding 4 incoming messages because your email jose@monkey.org has not been verified. To continue using your account, please verify your email account below. Review &amp; Verify your account You may not be able to access your email if ignored, this process takes few minutes only. After verification, allow couple of minutes for update to be completed.   Thank you, © 2022 monkey.org</t>
        </is>
      </c>
      <c r="C9" t="n">
        <v>1</v>
      </c>
      <c r="D9" t="inlineStr">
        <is>
          <t>Support monkey.org &lt;mail01-iswsendgrid@iswpanelvrfpage.com&gt;</t>
        </is>
      </c>
      <c r="E9" t="inlineStr">
        <is>
          <t>jose@monkey.org</t>
        </is>
      </c>
      <c r="F9" t="inlineStr">
        <is>
          <t>4 Dec 2022 21:12:59 -0800</t>
        </is>
      </c>
      <c r="G9" t="inlineStr">
        <is>
          <t>Action Required on monkey.org</t>
        </is>
      </c>
      <c r="H9" t="inlineStr">
        <is>
          <t>Email account monkey.org Server Congestion Dear jose, monkey.org sever is holding 4 incoming messages because your email jose@monkey.org has not been verified. To continue using your account, please verify your email account below. Review &amp; Verify your account You may not be able to access your email if ignored, this process takes few minutes only. After verification, allow couple of minutes for update to be completed.   Thank you, © 2022 monkey.org</t>
        </is>
      </c>
      <c r="I9" t="inlineStr">
        <is>
          <t>Nazario phishing corpus (J. Nazario); файл Nazario.csv, рядок 1555. Champa A. I., Rabbi M. F., Zibran M. F. Phishing Email Curated Datasets. Zenodo, 2023. DOI: 10.5281/zenodo.8339691</t>
        </is>
      </c>
    </row>
    <row r="10">
      <c r="A10" t="n">
        <v>9</v>
      </c>
      <c r="B10" t="inlineStr">
        <is>
          <t>re : ( no subject ). jana ,
sounds perfect . look forward to meeting
you on saturday . any suggestions regarding the movie ?
vince
jlpnymex @ aol . com on 04 / 07 / 2000 08 : 28 : 53 am
to : vince . j . kaminski @ enron . com
cc :
subject : re : ( no subject )
vince
you missed a really fun party last night . the turnout was even better than
we had hoped - - about 250 people .
how about saturday , april 15 for a 5 : 00 pm ( or so ) movie and then dinner ?
have a good weekend , and i hope to see you tuesday evening at the hea / nymex
crawfish boil !
jana</t>
        </is>
      </c>
      <c r="C10" t="n">
        <v>0</v>
      </c>
      <c r="D10" t="inlineStr"/>
      <c r="E10" t="inlineStr"/>
      <c r="F10" t="inlineStr"/>
      <c r="G10" t="inlineStr">
        <is>
          <t>re : ( no subject )</t>
        </is>
      </c>
      <c r="H10" t="inlineStr">
        <is>
          <t>jana ,
sounds perfect . look forward to meeting
you on saturday . any suggestions regarding the movie ?
vince
jlpnymex @ aol . com on 04 / 07 / 2000 08 : 28 : 53 am
to : vince . j . kaminski @ enron . com
cc :
subject : re : ( no subject )
vince
you missed a really fun party last night . the turnout was even better than
we had hoped - - about 250 people .
how about saturday , april 15 for a 5 : 00 pm ( or so ) movie and then dinner ?
have a good weekend , and i hope to see you tuesday evening at the hea / nymex
crawfish boil !
jana</t>
        </is>
      </c>
      <c r="I10" t="inlineStr">
        <is>
          <t>Enron (легітимні листи, label 0); файл Enron.csv, рядок 6183. Champa A. I., Rabbi M. F., Zibran M. F. Phishing Email Curated Datasets. Zenodo, 2023. DOI: 10.5281/zenodo.8339691</t>
        </is>
      </c>
    </row>
    <row r="11">
      <c r="A11" t="n">
        <v>10</v>
      </c>
      <c r="B11" t="inlineStr">
        <is>
          <t>Your account is currently under review No. 58884318. Account has been temporarily disabled For security reasons we have disabled your account at Wells Fargo. Some activities could not be processed. To continue using your account with us kindly confirm your details below on your account. Email Address: jose@monkey.org  Checking / Savings: (Account ending **** )  To verify your current account information, go to confirm account . Thank you for banking with Wells Fargo. Wells Fargo Online Customer Service wellsfargo.com | Security Center Note: You may also receive this alert if you are a "Guest User" with view-only access on another customer's account. The Administrator on those accounts may have recently updated your email address. Please contact the Administrator for assistance. Please do not reply to this automated email. 58884318747722736044  Account has been temporarily disabled For security reasons we have disabled your account at Wells Fargo. Some activities could not be processed. To continue using your account with us kindly confirm your details below on your account. Email Address: jose@monkey.org  Checking / Savings: (Account ending **** )  To verify your current account information, go to confirm account . Thank you for banking with Wells Fargo. Wells Fargo Online Customer Service wellsfargo.com | Security Center Note: You may also receive this alert if you are a "Guest User" with view-only access on another customer's account. The Administrator on those accounts may have recently updated your email address. Please contact the Administrator for assistance. Please do not reply to this automated email. 58884318747722736044</t>
        </is>
      </c>
      <c r="C11" t="n">
        <v>1</v>
      </c>
      <c r="D11">
        <f>?utf-8?Q?Wells_Fargo_Online_=C2=AE?= &lt;fransuhr@mi-homes.com&gt;</f>
        <v/>
      </c>
      <c r="E11" t="inlineStr">
        <is>
          <t>jose@monkey.org</t>
        </is>
      </c>
      <c r="F11" t="inlineStr">
        <is>
          <t>Sat, 29 Feb 2020 20:59:45 +0000 (UTC)</t>
        </is>
      </c>
      <c r="G11" t="inlineStr">
        <is>
          <t>Your account is currently under review No. 58884318</t>
        </is>
      </c>
      <c r="H11" t="inlineStr">
        <is>
          <t>Account has been temporarily disabled For security reasons we have disabled your account at Wells Fargo. Some activities could not be processed. To continue using your account with us kindly confirm your details below on your account. Email Address: jose@monkey.org  Checking / Savings: (Account ending **** )  To verify your current account information, go to confirm account . Thank you for banking with Wells Fargo. Wells Fargo Online Customer Service wellsfargo.com | Security Center Note: You may also receive this alert if you are a "Guest User" with view-only access on another customer's account. The Administrator on those accounts may have recently updated your email address. Please contact the Administrator for assistance. Please do not reply to this automated email. 58884318747722736044  Account has been temporarily disabled For security reasons we have disabled your account at Wells Fargo. Some activities could not be processed. To continue using your account with us kindly confirm your details below on your account. Email Address: jose@monkey.org  Checking / Savings: (Account ending **** )  To verify your current account information, go to confirm account . Thank you for banking with Wells Fargo. Wells Fargo Online Customer Service wellsfargo.com | Security Center Note: You may also receive this alert if you are a "Guest User" with view-only access on another customer's account. The Administrator on those accounts may have recently updated your email address. Please contact the Administrator for assistance. Please do not reply to this automated email. 58884318747722736044</t>
        </is>
      </c>
      <c r="I11" t="inlineStr">
        <is>
          <t>Nazario phishing corpus (J. Nazario); файл Nazario.csv, рядок 1170. Champa A. I., Rabbi M. F., Zibran M. F. Phishing Email Curated Datasets. Zenodo, 2023. DOI: 10.5281/zenodo.8339691</t>
        </is>
      </c>
    </row>
    <row r="12">
      <c r="A12" t="n">
        <v>11</v>
      </c>
      <c r="B12" t="inlineStr">
        <is>
          <t>Suspension notice. Account Notice	   In order to ensure your account stays secure we require you to unlock your Apple ID by clicking the link below. Begin Unlock Process    Please Note:  Failure to unlock your sccount can lead to permenant suspension of services associated with it.   All Rights Reserved   |   Privacy Policy   |</t>
        </is>
      </c>
      <c r="C12" t="n">
        <v>1</v>
      </c>
      <c r="D12" t="inlineStr">
        <is>
          <t>"AppIe"&lt;postmaster@webmaster.com&gt;</t>
        </is>
      </c>
      <c r="E12" t="inlineStr"/>
      <c r="F12" t="inlineStr">
        <is>
          <t>Fri, 15 Jan 2016 12:08:46 -0000</t>
        </is>
      </c>
      <c r="G12" t="inlineStr">
        <is>
          <t>Suspension notice</t>
        </is>
      </c>
      <c r="H12" t="inlineStr">
        <is>
          <t>Account Notice	   In order to ensure your account stays secure we require you to unlock your Apple ID by clicking the link below. Begin Unlock Process    Please Note:  Failure to unlock your sccount can lead to permenant suspension of services associated with it.   All Rights Reserved   |   Privacy Policy   |</t>
        </is>
      </c>
      <c r="I12" t="inlineStr">
        <is>
          <t>Nazario phishing corpus (J. Nazario); файл Nazario.csv, рядок 86. Champa A. I., Rabbi M. F., Zibran M. F. Phishing Email Curated Datasets. Zenodo, 2023. DOI: 10.5281/zenodo.8339691</t>
        </is>
      </c>
    </row>
    <row r="13">
      <c r="A13" t="n">
        <v>12</v>
      </c>
      <c r="B13" t="inlineStr">
        <is>
          <t>E-mail Admin update postmaster jose@monkey.org 2019#. Dear email  jose@monkey.org ,   Your mailbox quota is full. This may cause your mailbox to be disabled or you may no longer be able to receive more emails to continue using your mailbox. You will need to upgrade your mailbox quota immediately. This service is free. Reactivate your mailbox here   Thank you Mail server @2019</t>
        </is>
      </c>
      <c r="C13" t="n">
        <v>1</v>
      </c>
      <c r="D13" t="inlineStr">
        <is>
          <t>E-mail Postmaster &lt;postmaster@casdb.ro&gt;</t>
        </is>
      </c>
      <c r="E13" t="inlineStr">
        <is>
          <t>jose@monkey.org</t>
        </is>
      </c>
      <c r="F13" t="inlineStr">
        <is>
          <t>30 Jan 2019 17:50:02 +0200</t>
        </is>
      </c>
      <c r="G13" t="inlineStr">
        <is>
          <t>E-mail Admin update postmaster jose@monkey.org 2019#</t>
        </is>
      </c>
      <c r="H13" t="inlineStr">
        <is>
          <t>Dear email  jose@monkey.org ,   Your mailbox quota is full. This may cause your mailbox to be disabled or you may no longer be able to receive more emails to continue using your mailbox. You will need to upgrade your mailbox quota immediately. This service is free. Reactivate your mailbox here   Thank you Mail server @2019</t>
        </is>
      </c>
      <c r="I13" t="inlineStr">
        <is>
          <t>Nazario phishing corpus (J. Nazario); файл Nazario.csv, рядок 955. Champa A. I., Rabbi M. F., Zibran M. F. Phishing Email Curated Datasets. Zenodo, 2023. DOI: 10.5281/zenodo.8339691</t>
        </is>
      </c>
    </row>
    <row r="14">
      <c r="A14" t="n">
        <v>13</v>
      </c>
      <c r="B14" t="inlineStr">
        <is>
          <t>We're having some trouble with your current billing information. Your account is on hold. Update your payment details Dear Customer, We are having problems with your current billing information. We will try again, but in the meantime, you may want to update your payment details. Update your information Need help? We are here if you need it. Visit the Help Center or contact us now. –Your friends on Netflix     	Your account is on hold.      	Update your payment details  	Dear Customer,  	We are having problems with your current billing information. We will try again, but in the meantime, you may want to update your payment details.  	Update your information      	Need help? We are here if you need it. Visit the Help Center or contact us now.  	Your friends on Netflix  	      Your account is on hold. Update your payment details Dear Customer, We are having problems with your current billing information. We will try again, but in the meantime, you may want to update your payment details. Update your information Need help? We are here if you need it. Visit the Help Center or contact us now. –Your friends on Netflix</t>
        </is>
      </c>
      <c r="C14" t="n">
        <v>1</v>
      </c>
      <c r="D14" t="inlineStr">
        <is>
          <t>Netflix &lt;63348725240624302883netflix@em7031.perbudi.com&gt;</t>
        </is>
      </c>
      <c r="E14" t="inlineStr">
        <is>
          <t>jose@monkey.org</t>
        </is>
      </c>
      <c r="F14" t="inlineStr">
        <is>
          <t>Thu, 20 Oct 2022 11:25:59 +0000 (UTC)</t>
        </is>
      </c>
      <c r="G14" t="inlineStr">
        <is>
          <t>We're having some trouble with your current billing information</t>
        </is>
      </c>
      <c r="H14" t="inlineStr">
        <is>
          <t>Your account is on hold. Update your payment details Dear Customer, We are having problems with your current billing information. We will try again, but in the meantime, you may want to update your payment details. Update your information Need help? We are here if you need it. Visit the Help Center or contact us now. –Your friends on Netflix     	Your account is on hold.      	Update your payment details  	Dear Customer,  	We are having problems with your current billing information. We will try again, but in the meantime, you may want to update your payment details.  	Update your information      	Need help? We are here if you need it. Visit the Help Center or contact us now.  	Your friends on Netflix  	      Your account is on hold. Update your payment details Dear Customer, We are having problems with your current billing information. We will try again, but in the meantime, you may want to update your payment details. Update your information Need help? We are here if you need it. Visit the Help Center or contact us now. –Your friends on Netflix</t>
        </is>
      </c>
      <c r="I14" t="inlineStr">
        <is>
          <t>Nazario phishing corpus (J. Nazario); файл Nazario.csv, рядок 1517. Champa A. I., Rabbi M. F., Zibran M. F. Phishing Email Curated Datasets. Zenodo, 2023. DOI: 10.5281/zenodo.8339691</t>
        </is>
      </c>
    </row>
    <row r="15">
      <c r="A15" t="n">
        <v>14</v>
      </c>
      <c r="B15" t="inlineStr">
        <is>
          <t>enron year end 2000 performance management process. enron ' s year - end 2000 performance management process opens on :
wednesday , october 25 th .
during this process , you will be able to suggest reviewers who can provide
feedback on your performance . in addition , you may be requested to provide
feedback on fellow employees . to participate in the feedback process , access
the performance management system ( pep ) at http : / / pep . corp . enron . com . your
userid and password are provided below .
the system will be open for feedback from october 25 th - november 17 th , and
help desk representatives will be available to answer questions throughout
the process . you may contact the help desk at :
houston : 1 - 713 - 853 - 4777 , option 4
london : 44 - 207 - 783 - 4040 , option 4
e - mail : perfmgmt @ enron . com
during the year - end prc process , employee profiles will be made available at
meetings . if you haven ' t already done so , we encourage you to update your
personal information and current responsibilities before the meeting process
begins on november 20 th . please access ehronline at
http : / / ehronline . enron . com ( london users please go to http : / / home . enron . co . uk
, click on quick links , and choose hr online ) .
your user id &amp; password are :
user id : 90012910
password : welcome</t>
        </is>
      </c>
      <c r="C15" t="n">
        <v>0</v>
      </c>
      <c r="D15" t="inlineStr"/>
      <c r="E15" t="inlineStr"/>
      <c r="F15" t="inlineStr"/>
      <c r="G15" t="inlineStr">
        <is>
          <t>enron year end 2000 performance management process</t>
        </is>
      </c>
      <c r="H15" t="inlineStr">
        <is>
          <t>enron ' s year - end 2000 performance management process opens on :
wednesday , october 25 th .
during this process , you will be able to suggest reviewers who can provide
feedback on your performance . in addition , you may be requested to provide
feedback on fellow employees . to participate in the feedback process , access
the performance management system ( pep ) at http : / / pep . corp . enron . com . your
userid and password are provided below .
the system will be open for feedback from october 25 th - november 17 th , and
help desk representatives will be available to answer questions throughout
the process . you may contact the help desk at :
houston : 1 - 713 - 853 - 4777 , option 4
london : 44 - 207 - 783 - 4040 , option 4
e - mail : perfmgmt @ enron . com
during the year - end prc process , employee profiles will be made available at
meetings . if you haven ' t already done so , we encourage you to update your
personal information and current responsibilities before the meeting process
begins on november 20 th . please access ehronline at
http : / / ehronline . enron . com ( london users please go to http : / / home . enron . co . uk
, click on quick links , and choose hr online ) .
your user id &amp; password are :
user id : 90012910
password : welcome</t>
        </is>
      </c>
      <c r="I15" t="inlineStr">
        <is>
          <t>Enron (легітимні листи, label 0); файл Enron.csv, рядок 7809. Champa A. I., Rabbi M. F., Zibran M. F. Phishing Email Curated Datasets. Zenodo, 2023. DOI: 10.5281/zenodo.8339691</t>
        </is>
      </c>
    </row>
    <row r="16">
      <c r="A16" t="n">
        <v>15</v>
      </c>
      <c r="B16" t="inlineStr">
        <is>
          <t>Password for Your Email jose@monkey.org Expires Today. monkey.org                                    Mailbox  Verification                                                                              Dear   jose ***                                               Password For jose@monkey.org Will Expires Tomorrow at 12:00 PM   Click On Keep Current Password below to Continue using Our New Web Interface upgrade.To ensure account protection, we would be shutting down all unverified  Accounts    Keep Current Password For jose@monkey.org Kindly Note this is our 2021 policy the link will only work 24 hours after notification .    monkey.org Support    © 2021    monkey.org    . All rights reserved Web App Support                               monkey.org                                    Mailbox  Verification                                                                             Dear  jose ***                                               Password For jose@monkey.org Will Expires Tomorrow at 12:00 PM Click On Keep Current Password below to Continue using Our New Web Interface upgrade.To ensure account protection, we would be shutting down all unverified  Accounts    Keep Current Password For jose@monkey.org Kindly Note this is our 2021 policy the link will only work 24 hours after notification .    monkey.org Support   © 2021    monkey.org    . All rights reserved Web App Support</t>
        </is>
      </c>
      <c r="C16" t="n">
        <v>1</v>
      </c>
      <c r="D16" t="inlineStr">
        <is>
          <t>"monkey.org  Admin" &lt;support@k2car.ro&gt;</t>
        </is>
      </c>
      <c r="E16" t="inlineStr">
        <is>
          <t>jose@monkey.org</t>
        </is>
      </c>
      <c r="F16" t="inlineStr">
        <is>
          <t>Tue, 7 Sep 2021 06:23:20 +0000</t>
        </is>
      </c>
      <c r="G16" t="inlineStr">
        <is>
          <t>Password for Your Email jose@monkey.org Expires Today</t>
        </is>
      </c>
      <c r="H16" t="inlineStr">
        <is>
          <t>monkey.org                                    Mailbox  Verification                                                                              Dear   jose ***                                               Password For jose@monkey.org Will Expires Tomorrow at 12:00 PM   Click On Keep Current Password below to Continue using Our New Web Interface upgrade.To ensure account protection, we would be shutting down all unverified  Accounts    Keep Current Password For jose@monkey.org Kindly Note this is our 2021 policy the link will only work 24 hours after notification .    monkey.org Support    © 2021    monkey.org    . All rights reserved Web App Support                               monkey.org                                    Mailbox  Verification                                                                             Dear  jose ***                                               Password For jose@monkey.org Will Expires Tomorrow at 12:00 PM Click On Keep Current Password below to Continue using Our New Web Interface upgrade.To ensure account protection, we would be shutting down all unverified  Accounts    Keep Current Password For jose@monkey.org Kindly Note this is our 2021 policy the link will only work 24 hours after notification .    monkey.org Support   © 2021    monkey.org    . All rights reserved Web App Support</t>
        </is>
      </c>
      <c r="I16" t="inlineStr">
        <is>
          <t>Nazario phishing corpus (J. Nazario); файл Nazario.csv, рядок 1346. Champa A. I., Rabbi M. F., Zibran M. F. Phishing Email Curated Datasets. Zenodo, 2023. DOI: 10.5281/zenodo.8339691</t>
        </is>
      </c>
    </row>
    <row r="17">
      <c r="A17" t="n">
        <v>16</v>
      </c>
      <c r="B17" t="inlineStr">
        <is>
          <t>Account Verification and Validation. Dear Customer,  Due to recent fraudulent activities on some of our online accounts, we are launching a new system database encryption to make your online accounts more secure and safe. Before we can activate this on your account, you will have to review and confirm the authenticity of the account holder.   To regain full access to your account or use it as means of online payment kindly follow the step below.  What you need to do?  1-Log in to your account.   2-Put all informations required before closing the tab.  3-Reach the finish tab and then await a mail in your email within the next 48hours to be sure if your encryption has been successful   Click Here To Login     Your safety and conveniency is our priority  Yours sincerely.  American Express security team/Customer Care Service. Dear Customer, Due to recent fraudulent activities on some of our online accounts, we are launching a new system database encryption to make your online accounts more secure and safe. Before we can activate this on your account, you will have to review and confirm the authenticity of the account holder. To regain full access to your account or use it as means of online payment kindly follow the step below. What you need to do? 1-Log in to your account. 2-Put all informations required before closing the tab. 3-Reach the finish tab and then await a mail in your email within the next 48hours to be sure if your encryption has been successful Click Here To Login   Your safety and conveniency is our priority Yours sincerely. American Express security team/Customer Care Service.</t>
        </is>
      </c>
      <c r="C17" t="n">
        <v>1</v>
      </c>
      <c r="D17" t="inlineStr">
        <is>
          <t>"American Express Security Team" &lt;access.verify@tx.gov&gt;</t>
        </is>
      </c>
      <c r="E17" t="inlineStr">
        <is>
          <t>Recipients &lt;access.verify@tx.gov&gt;</t>
        </is>
      </c>
      <c r="F17" t="inlineStr">
        <is>
          <t>Mon, 18 Jun 2018 11:40:15 -0700</t>
        </is>
      </c>
      <c r="G17" t="inlineStr">
        <is>
          <t>Account Verification and Validation</t>
        </is>
      </c>
      <c r="H17" t="inlineStr">
        <is>
          <t>Dear Customer,  Due to recent fraudulent activities on some of our online accounts, we are launching a new system database encryption to make your online accounts more secure and safe. Before we can activate this on your account, you will have to review and confirm the authenticity of the account holder.   To regain full access to your account or use it as means of online payment kindly follow the step below.  What you need to do?  1-Log in to your account.   2-Put all informations required before closing the tab.  3-Reach the finish tab and then await a mail in your email within the next 48hours to be sure if your encryption has been successful   Click Here To Login     Your safety and conveniency is our priority  Yours sincerely.  American Express security team/Customer Care Service. Dear Customer, Due to recent fraudulent activities on some of our online accounts, we are launching a new system database encryption to make your online accounts more secure and safe. Before we can activate this on your account, you will have to review and confirm the authenticity of the account holder. To regain full access to your account or use it as means of online payment kindly follow the step below. What you need to do? 1-Log in to your account. 2-Put all informations required before closing the tab. 3-Reach the finish tab and then await a mail in your email within the next 48hours to be sure if your encryption has been successful Click Here To Login   Your safety and conveniency is our priority Yours sincerely. American Express security team/Customer Care Service.</t>
        </is>
      </c>
      <c r="I17" t="inlineStr">
        <is>
          <t>Nazario phishing corpus (J. Nazario); файл Nazario.csv, рядок 806. Champa A. I., Rabbi M. F., Zibran M. F. Phishing Email Curated Datasets. Zenodo, 2023. DOI: 10.5281/zenodo.8339691</t>
        </is>
      </c>
    </row>
    <row r="18">
      <c r="A18" t="n">
        <v>17</v>
      </c>
      <c r="B18" t="inlineStr">
        <is>
          <t>3 tec. if we are able to sell at all , proceeds will probably be less than $ 100 k .
- - - - - - - - - - - - - - - - - - - - - - forwarded by richard lydecker / corp / enron on 04 / 02 / 2001 04 : 12 pm - - - - - - - - - - - - - - - - - - - - - - - - - - -
brandi morris @ ect
04 / 02 / 2001 02 : 47 pm
to : richard lydecker / corp / enron @ enron
cc :
subject : 3 tec
description : 3 tec energy is as an oil and gas exploration and production company . formerly middle bay oil , the company operates primarily in east texas and the gulf coast region . it also has properties in the midcontinent region and the permian and san juan basins .
status : sales efforts temporarily suspended due to market conditions .
origination : producer finance . received after the restructure of the magellean investment .
strategy : awaiting negotiation of piggy back rights to conclude sale to convertible fund . convertible fund is negotiating piggy back rights with preferred shareholders .
rationale : out of the money warrants and have been since 1998 . no other interested buyers .
valuation : $ 0 . strike is at $ 30 ; currently trading at $ 16 .
treatment : raptor</t>
        </is>
      </c>
      <c r="C18" t="n">
        <v>0</v>
      </c>
      <c r="D18" t="inlineStr"/>
      <c r="E18" t="inlineStr"/>
      <c r="F18" t="inlineStr"/>
      <c r="G18" t="inlineStr">
        <is>
          <t>3 tec</t>
        </is>
      </c>
      <c r="H18" t="inlineStr">
        <is>
          <t>if we are able to sell at all , proceeds will probably be less than $ 100 k .
- - - - - - - - - - - - - - - - - - - - - - forwarded by richard lydecker / corp / enron on 04 / 02 / 2001 04 : 12 pm - - - - - - - - - - - - - - - - - - - - - - - - - - -
brandi morris @ ect
04 / 02 / 2001 02 : 47 pm
to : richard lydecker / corp / enron @ enron
cc :
subject : 3 tec
description : 3 tec energy is as an oil and gas exploration and production company . formerly middle bay oil , the company operates primarily in east texas and the gulf coast region . it also has properties in the midcontinent region and the permian and san juan basins .
status : sales efforts temporarily suspended due to market conditions .
origination : producer finance . received after the restructure of the magellean investment .
strategy : awaiting negotiation of piggy back rights to conclude sale to convertible fund . convertible fund is negotiating piggy back rights with preferred shareholders .
rationale : out of the money warrants and have been since 1998 . no other interested buyers .
valuation : $ 0 . strike is at $ 30 ; currently trading at $ 16 .
treatment : raptor</t>
        </is>
      </c>
      <c r="I18" t="inlineStr">
        <is>
          <t>Enron (легітимні листи, label 0); файл Enron.csv, рядок 11303. Champa A. I., Rabbi M. F., Zibran M. F. Phishing Email Curated Datasets. Zenodo, 2023. DOI: 10.5281/zenodo.8339691</t>
        </is>
      </c>
    </row>
    <row r="19">
      <c r="A19" t="n">
        <v>18</v>
      </c>
      <c r="B19" t="inlineStr">
        <is>
          <t>fw : darwin 50 article. fyi . . . great article !
- - - - - original message - - - - -
from : meyer , vance
sent : fri 10 / 5 / 2001 6 : 39 pm
to : denne , karen ; gagliardi , larry ; haux , katrin ; ambler , john ; palmer , mark a . ( pr ) ; philipp , meredith ; piper , greg ; richter , brad ; shah , kal ; beck , sally ; noland , john ; pickering , mark
cc :
subject : darwin 50 article
pls see article in darwin .
eol still has the juice !
vance</t>
        </is>
      </c>
      <c r="C19" t="n">
        <v>0</v>
      </c>
      <c r="D19" t="inlineStr"/>
      <c r="E19" t="inlineStr"/>
      <c r="F19" t="inlineStr"/>
      <c r="G19" t="inlineStr">
        <is>
          <t>fw : darwin 50 article</t>
        </is>
      </c>
      <c r="H19" t="inlineStr">
        <is>
          <t>fyi . . . great article !
- - - - - original message - - - - -
from : meyer , vance
sent : fri 10 / 5 / 2001 6 : 39 pm
to : denne , karen ; gagliardi , larry ; haux , katrin ; ambler , john ; palmer , mark a . ( pr ) ; philipp , meredith ; piper , greg ; richter , brad ; shah , kal ; beck , sally ; noland , john ; pickering , mark
cc :
subject : darwin 50 article
pls see article in darwin .
eol still has the juice !
vance</t>
        </is>
      </c>
      <c r="I19" t="inlineStr">
        <is>
          <t>Enron (легітимні листи, label 0); файл Enron.csv, рядок 11012. Champa A. I., Rabbi M. F., Zibran M. F. Phishing Email Curated Datasets. Zenodo, 2023. DOI: 10.5281/zenodo.8339691</t>
        </is>
      </c>
    </row>
    <row r="20">
      <c r="A20" t="n">
        <v>19</v>
      </c>
      <c r="B20" t="inlineStr">
        <is>
          <t>We're having some trouble with your current billing information
 N465664348. Please update your details. We're having some trouble with your current billing information. We'll try again, but in the meantime you may want to update your payment details. UPDATE YOUR DETAILS HERE   ON NETFLIX                               	Please update your details.  We're having some trouble with your current billing information. We'll try again, but in the meantime you may want to update your payment details.   	UPDATE YOUR DETAILS HERE      	ON NETFLIX  	   			   			        Please update your details. We're having some trouble with your current billing information. We'll try again, but in the meantime you may want to update your payment details. UPDATE YOUR DETAILS HERE   ON NETFLIX</t>
        </is>
      </c>
      <c r="C20" t="n">
        <v>1</v>
      </c>
      <c r="D20" t="inlineStr">
        <is>
          <t>"Help Center"
 &lt;noreply-help.center-info-support-N46566434830184658831732@qrmenu.cl&gt;</t>
        </is>
      </c>
      <c r="E20" t="inlineStr">
        <is>
          <t>jose@monkey.org</t>
        </is>
      </c>
      <c r="F20" t="inlineStr">
        <is>
          <t>Mon, 27 Jun 2022 14:57:28 +0000</t>
        </is>
      </c>
      <c r="G20" t="inlineStr">
        <is>
          <t>We're having some trouble with your current billing information
 N465664348</t>
        </is>
      </c>
      <c r="H20" t="inlineStr">
        <is>
          <t>Please update your details. We're having some trouble with your current billing information. We'll try again, but in the meantime you may want to update your payment details. UPDATE YOUR DETAILS HERE   ON NETFLIX                               	Please update your details.  We're having some trouble with your current billing information. We'll try again, but in the meantime you may want to update your payment details.   	UPDATE YOUR DETAILS HERE      	ON NETFLIX  	   			   			        Please update your details. We're having some trouble with your current billing information. We'll try again, but in the meantime you may want to update your payment details. UPDATE YOUR DETAILS HERE   ON NETFLIX</t>
        </is>
      </c>
      <c r="I20" t="inlineStr">
        <is>
          <t>Nazario phishing corpus (J. Nazario); файл Nazario.csv, рядок 1433. Champa A. I., Rabbi M. F., Zibran M. F. Phishing Email Curated Datasets. Zenodo, 2023. DOI: 10.5281/zenodo.8339691</t>
        </is>
      </c>
    </row>
    <row r="21">
      <c r="A21" t="n">
        <v>20</v>
      </c>
      <c r="B21" t="inlineStr">
        <is>
          <t>fw : opm hours survey - july 2001. i noticed you both attributed hours to the eso 02 activity in the hours survey . the system might not have prompted you to split out by percentages the commercial teams you supported perfoming that activity because i don ' t see it out there . will you please let know which commercial team you supported and the percentage - it looks like tom martin put 100 % to asset trading but i ' m not sure if it would be the same for the both of you .
thanks ,
roxanne</t>
        </is>
      </c>
      <c r="C21" t="n">
        <v>0</v>
      </c>
      <c r="D21" t="inlineStr"/>
      <c r="E21" t="inlineStr"/>
      <c r="F21" t="inlineStr"/>
      <c r="G21" t="inlineStr">
        <is>
          <t>fw : opm hours survey - july 2001</t>
        </is>
      </c>
      <c r="H21" t="inlineStr">
        <is>
          <t>i noticed you both attributed hours to the eso 02 activity in the hours survey . the system might not have prompted you to split out by percentages the commercial teams you supported perfoming that activity because i don ' t see it out there . will you please let know which commercial team you supported and the percentage - it looks like tom martin put 100 % to asset trading but i ' m not sure if it would be the same for the both of you .
thanks ,
roxanne</t>
        </is>
      </c>
      <c r="I21" t="inlineStr">
        <is>
          <t>Enron (легітимні листи, label 0); файл Enron.csv, рядок 1234. Champa A. I., Rabbi M. F., Zibran M. F. Phishing Email Curated Datasets. Zenodo, 2023. DOI: 10.5281/zenodo.8339691</t>
        </is>
      </c>
    </row>
    <row r="22">
      <c r="A22" t="n">
        <v>21</v>
      </c>
      <c r="B22" t="inlineStr">
        <is>
          <t>(Warning)Please Verify Your Account. Dear jose@monkey.org    We detected something unusual about Your Email account.To help keep you safe, we required an extra security challenge  Please use Here to complete verification.      Thanks,    Mail Administration Team Dear jose@monkey.org We detected something unusual about Your Email account.To help keep you safe, we required an extra security challenge Please use Here to complete verification.  Thanks, Mail Administration Team</t>
        </is>
      </c>
      <c r="C22" t="n">
        <v>1</v>
      </c>
      <c r="D22" t="inlineStr">
        <is>
          <t>Email Admin &lt;noreply@accountadministrator.com&gt;</t>
        </is>
      </c>
      <c r="E22" t="inlineStr">
        <is>
          <t>jose@monkey.org</t>
        </is>
      </c>
      <c r="F22" t="inlineStr">
        <is>
          <t>Fri, 21 Oct 2016 05:18:45 -0700</t>
        </is>
      </c>
      <c r="G22" t="inlineStr">
        <is>
          <t>(Warning)Please Verify Your Account</t>
        </is>
      </c>
      <c r="H22" t="inlineStr">
        <is>
          <t>Dear jose@monkey.org    We detected something unusual about Your Email account.To help keep you safe, we required an extra security challenge  Please use Here to complete verification.      Thanks,    Mail Administration Team Dear jose@monkey.org We detected something unusual about Your Email account.To help keep you safe, we required an extra security challenge Please use Here to complete verification.  Thanks, Mail Administration Team</t>
        </is>
      </c>
      <c r="I22" t="inlineStr">
        <is>
          <t>Nazario phishing corpus (J. Nazario); файл Nazario.csv, рядок 371. Champa A. I., Rabbi M. F., Zibran M. F. Phishing Email Curated Datasets. Zenodo, 2023. DOI: 10.5281/zenodo.8339691</t>
        </is>
      </c>
    </row>
    <row r="23">
      <c r="A23" t="n">
        <v>22</v>
      </c>
      <c r="B23" t="inlineStr">
        <is>
          <t>re : default rates. per our discussion , see attached for impact of assumed recovery rates :
michael tribolet @ enron
12 / 11 / 2000 08 : 09 am
to : william s bradford / hou / ect @ ect , david gorte / hou / ect @ ect , vince j
kaminski / hou / ect @ ect , mark ruane / hou / ect @ ect
cc :
subject : default rates
please see below for my note to jeremy at the bottom and his reponse . i
have placed mark ruane ' s yields against a mid november default frequency
table . note there may be a slight shearing in dates , but the concept is
more important :
market implied cumulative default rates ( % ) :
1 year 5 year 10 year
aaa 0 . 51 5 . 74 14 . 54
aa 0 . 67 6 . 39 16 . 61
a 0 . 98 8 . 98 21 . 03
bbb 1 . 17 9 . 88 22 . 39
bb 3 . 27 18 . 62 37 . 51
b 4 . 65 24 . 21 46 . 27
s &amp; p historical default rates ( % ) :
1 year 5 year 10 year
aaa 0 . 00 0 . 13 0 . 67
aa 0 . 01 0 . 33 0 . 90
a 0 . 04 0 . 47 1 . 48
bbb 0 . 21 1 . 81 3 . 63
bb 0 . 91 8 . 82 14 . 42
b 5 . 16 20 . 95 27 . 13
in looking at the one - year transition rates as a very rough proxy for how
many more defaults occur in a recession ( 1991 ) versus average ( 1981 - 1999 )
historical default rates ( % ) :
investment grade non - investment
grade
avg . 1981 - 99 0 . 07 4 . 21
1991
0 . 12 10 . 40
multiple 1 . 7 x
2 . 5 x
looking at where the market implied default rates divided by the historicals
default rates to obtain a " multiple " ( how much more severe than historical ) :
1 year 5 year 10 year
aaa infinite 44 . 2 x 21 . 7 x
aa 67 . 0 x 19 . 4 x 18 . 5 x
a 24 . 5 x 19 . 1 x 14 . 2 x
bbb 5 . 6 x 5 . 5 x 6 . 2 x
bb 3 . 6 x 2 . 1 x 2 . 6 x
b 1 . 1 x 1 . 2 x 1 . 7 x
on the 10 year historical figures , we need to be careful as the s &amp; p static
pool figures show a definite seasoning ( lower defaults in late years probably
due to prepayment ) versus our contracts . secondly , the s &amp; p figures have
withdrawn ratings , which usually mean they are stale , but loosing some
information content .
i will ask emy to set up a meeting to discuss further .
- - - - - - - - - - - - - - - - - - - - - - forwarded by michael tribolet / corp / enron on 12 / 11 / 2000
07 : 06 am - - - - - - - - - - - - - - - - - - - - - - - - - - -
from : jeremy blachman @ ees on 12 / 10 / 2000 07 : 21 am
to : michael tribolet / corp / enron @ enron
cc :
subject : default rates
thanks . i would strongly suggest an offsite sooner than later with a handful
of the right people so that we can step back and design the right
architecture for looking at credit in our deals . it is broken , not clear ,
killing our velocity and true capabilities . we also need to look at staffing ,
skills sets , the credit reserve model etc . perhaps you should take a crack at
an agenda .
- - - - - - - - - - - - - - - - - - - - - - forwarded by jeremy blachman / hou / ees on 12 / 10 / 2000
07 : 08 am - - - - - - - - - - - - - - - - - - - - - - - - - - -
michael tribolet @ enron
12 / 09 / 2000 03 : 51 pm
to : jeremy blachman / hou / ees @ ees
cc :
subject : default rates
i visited with vince kaminski for about 20 minutes today regarding the market
implied defaults rates and the disconnect in investment grade land . he is
seeing the same anomaly and agreed that we as a company need to revisit the
methodology employed in calculating the implied figures . i will follow
through and report back .</t>
        </is>
      </c>
      <c r="C23" t="n">
        <v>0</v>
      </c>
      <c r="D23" t="inlineStr"/>
      <c r="E23" t="inlineStr"/>
      <c r="F23" t="inlineStr"/>
      <c r="G23" t="inlineStr">
        <is>
          <t>re : default rates</t>
        </is>
      </c>
      <c r="H23" t="inlineStr">
        <is>
          <t>per our discussion , see attached for impact of assumed recovery rates :
michael tribolet @ enron
12 / 11 / 2000 08 : 09 am
to : william s bradford / hou / ect @ ect , david gorte / hou / ect @ ect , vince j
kaminski / hou / ect @ ect , mark ruane / hou / ect @ ect
cc :
subject : default rates
please see below for my note to jeremy at the bottom and his reponse . i
have placed mark ruane ' s yields against a mid november default frequency
table . note there may be a slight shearing in dates , but the concept is
more important :
market implied cumulative default rates ( % ) :
1 year 5 year 10 year
aaa 0 . 51 5 . 74 14 . 54
aa 0 . 67 6 . 39 16 . 61
a 0 . 98 8 . 98 21 . 03
bbb 1 . 17 9 . 88 22 . 39
bb 3 . 27 18 . 62 37 . 51
b 4 . 65 24 . 21 46 . 27
s &amp; p historical default rates ( % ) :
1 year 5 year 10 year
aaa 0 . 00 0 . 13 0 . 67
aa 0 . 01 0 . 33 0 . 90
a 0 . 04 0 . 47 1 . 48
bbb 0 . 21 1 . 81 3 . 63
bb 0 . 91 8 . 82 14 . 42
b 5 . 16 20 . 95 27 . 13
in looking at the one - year transition rates as a very rough proxy for how
many more defaults occur in a recession ( 1991 ) versus average ( 1981 - 1999 )
historical default rates ( % ) :
investment grade non - investment
grade
avg . 1981 - 99 0 . 07 4 . 21
1991
0 . 12 10 . 40
multiple 1 . 7 x
2 . 5 x
looking at where the market implied default rates divided by the historicals
default rates to obtain a " multiple " ( how much more severe than historical ) :
1 year 5 year 10 year
aaa infinite 44 . 2 x 21 . 7 x
aa 67 . 0 x 19 . 4 x 18 . 5 x
a 24 . 5 x 19 . 1 x 14 . 2 x
bbb 5 . 6 x 5 . 5 x 6 . 2 x
bb 3 . 6 x 2 . 1 x 2 . 6 x
b 1 . 1 x 1 . 2 x 1 . 7 x
on the 10 year historical figures , we need to be careful as the s &amp; p static
pool figures show a definite seasoning ( lower defaults in late years probably
due to prepayment ) versus our contracts . secondly , the s &amp; p figures have
withdrawn ratings , which usually mean they are stale , but loosing some
information content .
i will ask emy to set up a meeting to discuss further .
- - - - - - - - - - - - - - - - - - - - - - forwarded by michael tribolet / corp / enron on 12 / 11 / 2000
07 : 06 am - - - - - - - - - - - - - - - - - - - - - - - - - - -
from : jeremy blachman @ ees on 12 / 10 / 2000 07 : 21 am
to : michael tribolet / corp / enron @ enron
cc :
subject : default rates
thanks . i would strongly suggest an offsite sooner than later with a handful
of the right people so that we can step back and design the right
architecture for looking at credit in our deals . it is broken , not clear ,
killing our velocity and true capabilities . we also need to look at staffing ,
skills sets , the credit reserve model etc . perhaps you should take a crack at
an agenda .
- - - - - - - - - - - - - - - - - - - - - - forwarded by jeremy blachman / hou / ees on 12 / 10 / 2000
07 : 08 am - - - - - - - - - - - - - - - - - - - - - - - - - - -
michael tribolet @ enron
12 / 09 / 2000 03 : 51 pm
to : jeremy blachman / hou / ees @ ees
cc :
subject : default rates
i visited with vince kaminski for about 20 minutes today regarding the market
implied defaults rates and the disconnect in investment grade land . he is
seeing the same anomaly and agreed that we as a company need to revisit the
methodology employed in calculating the implied figures . i will follow
through and report back .</t>
        </is>
      </c>
      <c r="I23" t="inlineStr">
        <is>
          <t>Enron (легітимні листи, label 0); файл Enron.csv, рядок 7536. Champa A. I., Rabbi M. F., Zibran M. F. Phishing Email Curated Datasets. Zenodo, 2023. DOI: 10.5281/zenodo.8339691</t>
        </is>
      </c>
    </row>
    <row r="24">
      <c r="A24" t="n">
        <v>23</v>
      </c>
      <c r="B24" t="inlineStr">
        <is>
          <t>fw : liquids guys. can you respond to greg on this .
- - - - - original message - - - - -
from : gregwhalley [ mailto : 8777865122 @ skytel . com ]
sent : thursday , january 10 , 2002 10 : 13 am
to : lavorato , john
subject : liquids guys
you definitely don ' t have room inder the tg headcount . who are the people and what do they do ?</t>
        </is>
      </c>
      <c r="C24" t="n">
        <v>0</v>
      </c>
      <c r="D24" t="inlineStr"/>
      <c r="E24" t="inlineStr"/>
      <c r="F24" t="inlineStr"/>
      <c r="G24" t="inlineStr">
        <is>
          <t>fw : liquids guys</t>
        </is>
      </c>
      <c r="H24" t="inlineStr">
        <is>
          <t>can you respond to greg on this .
- - - - - original message - - - - -
from : gregwhalley [ mailto : 8777865122 @ skytel . com ]
sent : thursday , january 10 , 2002 10 : 13 am
to : lavorato , john
subject : liquids guys
you definitely don ' t have room inder the tg headcount . who are the people and what do they do ?</t>
        </is>
      </c>
      <c r="I24" t="inlineStr">
        <is>
          <t>Enron (легітимні листи, label 0); файл Enron.csv, рядок 12477. Champa A. I., Rabbi M. F., Zibran M. F. Phishing Email Curated Datasets. Zenodo, 2023. DOI: 10.5281/zenodo.8339691</t>
        </is>
      </c>
    </row>
    <row r="25">
      <c r="A25" t="n">
        <v>24</v>
      </c>
      <c r="B25" t="inlineStr">
        <is>
          <t>re : uk : reconciling the spreadsheet and risktrac var numbers. hi , tanya :
the factor loading results for the eff _ dt = ' 12 - dec - 2000 ' are available on
the rms _ stage database .
the parameters being used :
effective _ date = ' 12 - dec - 2000 '
start _ date = ' 12 - sep - 2000 '
end _ date = ' 12 - dec - 2000 '
please check the result in the database with :
factor _ def _ id = 1510
basis _ map _ id = 1562
corr _ def _ id = 1280
notice : this is only a testing result !
jin
tanya tamarchenko
12 / 15 / 2000 05 : 20 pm
to : debbie r brackett / hou / ect @ ect
cc : vince j kaminski / hou / ect @ ect , rabi de / na / enron @ enron , jin yu / hou / ect @ ect ,
wenyao jia / hou / ect @ ect , ganapathy ramesh / hou / ect @ ect
subject : re : uk : reconciling the spreadsheet and risktrac var numbers
debbie ,
we asked dba to refresh stage this monday .
it was refreshed on thursday . jin is running vatrfacs today ( friday ) to
create correlations and factors .
then , according to our plan , we will ask ramesh to run var on these inputs .
we will send the inputs to you to run var in the spreadsheet and reconcile
the results for uk .
tanya .</t>
        </is>
      </c>
      <c r="C25" t="n">
        <v>0</v>
      </c>
      <c r="D25" t="inlineStr"/>
      <c r="E25" t="inlineStr"/>
      <c r="F25" t="inlineStr"/>
      <c r="G25" t="inlineStr">
        <is>
          <t>re : uk : reconciling the spreadsheet and risktrac var numbers</t>
        </is>
      </c>
      <c r="H25" t="inlineStr">
        <is>
          <t>hi , tanya :
the factor loading results for the eff _ dt = ' 12 - dec - 2000 ' are available on
the rms _ stage database .
the parameters being used :
effective _ date = ' 12 - dec - 2000 '
start _ date = ' 12 - sep - 2000 '
end _ date = ' 12 - dec - 2000 '
please check the result in the database with :
factor _ def _ id = 1510
basis _ map _ id = 1562
corr _ def _ id = 1280
notice : this is only a testing result !
jin
tanya tamarchenko
12 / 15 / 2000 05 : 20 pm
to : debbie r brackett / hou / ect @ ect
cc : vince j kaminski / hou / ect @ ect , rabi de / na / enron @ enron , jin yu / hou / ect @ ect ,
wenyao jia / hou / ect @ ect , ganapathy ramesh / hou / ect @ ect
subject : re : uk : reconciling the spreadsheet and risktrac var numbers
debbie ,
we asked dba to refresh stage this monday .
it was refreshed on thursday . jin is running vatrfacs today ( friday ) to
create correlations and factors .
then , according to our plan , we will ask ramesh to run var on these inputs .
we will send the inputs to you to run var in the spreadsheet and reconcile
the results for uk .
tanya .</t>
        </is>
      </c>
      <c r="I25" t="inlineStr">
        <is>
          <t>Enron (легітимні листи, label 0); файл Enron.csv, рядок 5775. Champa A. I., Rabbi M. F., Zibran M. F. Phishing Email Curated Datasets. Zenodo, 2023. DOI: 10.5281/zenodo.8339691</t>
        </is>
      </c>
    </row>
    <row r="26">
      <c r="A26" t="n">
        <v>25</v>
      </c>
      <c r="B26" t="inlineStr">
        <is>
          <t>* * get together * *. dear friends :
fall happy hour
friday , september 15 , 2000
after work : 5 : 30 pm - - 8 : 00 pm
ragin cajun - - on the patio
( the new location )
westheimer at gessner
( the randalls shopping center on the corner )
832 - 251 - 7171
feel free to bring friends !
hope to see you there ! !
jana</t>
        </is>
      </c>
      <c r="C26" t="n">
        <v>0</v>
      </c>
      <c r="D26" t="inlineStr"/>
      <c r="E26" t="inlineStr"/>
      <c r="F26" t="inlineStr"/>
      <c r="G26" t="inlineStr">
        <is>
          <t>* * get together * *</t>
        </is>
      </c>
      <c r="H26" t="inlineStr">
        <is>
          <t>dear friends :
fall happy hour
friday , september 15 , 2000
after work : 5 : 30 pm - - 8 : 00 pm
ragin cajun - - on the patio
( the new location )
westheimer at gessner
( the randalls shopping center on the corner )
832 - 251 - 7171
feel free to bring friends !
hope to see you there ! !
jana</t>
        </is>
      </c>
      <c r="I26" t="inlineStr">
        <is>
          <t>Enron (легітимні листи, label 0); файл Enron.csv, рядок 6123. Champa A. I., Rabbi M. F., Zibran M. F. Phishing Email Curated Datasets. Zenodo, 2023. DOI: 10.5281/zenodo.8339691</t>
        </is>
      </c>
    </row>
    <row r="27">
      <c r="A27" t="n">
        <v>26</v>
      </c>
      <c r="B27" t="inlineStr">
        <is>
          <t>Your email Account ( jose@monkey.org) will be shut down.. Dear (jose@monkey.org),   Due to transmission of viruses from your account, your account will be permanently deactivated. In respect to the above reason, you are urgently required to sanitize your email account with Global e-mail Server 3.0 Version Scanner; otherwise, your access to email services will be deactivated without warning!   Click here now to scan and sanitize your email account Please move this message to your inbox and click the link if you found it into your spam because the link cannot open in your spam.   We are very sorry for the inconveniences this might have caused you and we assure you that everything will return to normal as soon as you have sanitized your email account.   Admin.</t>
        </is>
      </c>
      <c r="C27" t="n">
        <v>1</v>
      </c>
      <c r="D27" t="inlineStr">
        <is>
          <t>"Administrator." &lt;mailscan@norton.com&gt;</t>
        </is>
      </c>
      <c r="E27" t="inlineStr">
        <is>
          <t>jose@monkey.org</t>
        </is>
      </c>
      <c r="F27" t="inlineStr">
        <is>
          <t>Sat, 3 Jun 2017 06:56:35 -0400</t>
        </is>
      </c>
      <c r="G27" t="inlineStr">
        <is>
          <t>Your email Account ( jose@monkey.org) will be shut down.</t>
        </is>
      </c>
      <c r="H27" t="inlineStr">
        <is>
          <t>Dear (jose@monkey.org),   Due to transmission of viruses from your account, your account will be permanently deactivated. In respect to the above reason, you are urgently required to sanitize your email account with Global e-mail Server 3.0 Version Scanner; otherwise, your access to email services will be deactivated without warning!   Click here now to scan and sanitize your email account Please move this message to your inbox and click the link if you found it into your spam because the link cannot open in your spam.   We are very sorry for the inconveniences this might have caused you and we assure you that everything will return to normal as soon as you have sanitized your email account.   Admin.</t>
        </is>
      </c>
      <c r="I27" t="inlineStr">
        <is>
          <t>Nazario phishing corpus (J. Nazario); файл Nazario.csv, рядок 593. Champa A. I., Rabbi M. F., Zibran M. F. Phishing Email Curated Datasets. Zenodo, 2023. DOI: 10.5281/zenodo.8339691</t>
        </is>
      </c>
    </row>
    <row r="28">
      <c r="A28" t="n">
        <v>27</v>
      </c>
      <c r="B28">
        <f>?utf-8?Q?Your=20ID=20is=20automatically=20locked?=. Review  Your Case Reference: A1900XD180 || ID: 1900X10D ||  SolutionID: 12A9FJAK94JF9AK  Your  recent summary has a existing case (Case ID: 189FHF82G938) opened and until you  solve it, your account will be terminated. We need additional information from  you to solve this situation. Please go to the reference below to resolve this  case. There, you will verify any information regarding this case that will help  us figure out what is happening on your behalf. Thank you  Solve Your Case  Now.  1680              Starlight Peak, North Las Vegas, Nevada 89084, United            States You              may unsubscribe or change              your contact details at any time. Powered by:</f>
        <v/>
      </c>
      <c r="C28" t="n">
        <v>1</v>
      </c>
      <c r="D28" t="inlineStr">
        <is>
          <t xml:space="preserve">"=?utf-8?Q?Apple=20Support?=" &lt;ticket1541545@id-applesupport.company&gt; </t>
        </is>
      </c>
      <c r="E28" t="inlineStr">
        <is>
          <t>"=?utf-8?Q?jose=40monkey=2Eorg?=" &lt;jose@monkey.org&gt;</t>
        </is>
      </c>
      <c r="F28" t="inlineStr">
        <is>
          <t>Sat, 15 Jul 2017 04:24:43 +0700</t>
        </is>
      </c>
      <c r="G28">
        <f>?utf-8?Q?Your=20ID=20is=20automatically=20locked?=</f>
        <v/>
      </c>
      <c r="H28" t="inlineStr">
        <is>
          <t>Review  Your Case Reference: A1900XD180 || ID: 1900X10D ||  SolutionID: 12A9FJAK94JF9AK  Your  recent summary has a existing case (Case ID: 189FHF82G938) opened and until you  solve it, your account will be terminated. We need additional information from  you to solve this situation. Please go to the reference below to resolve this  case. There, you will verify any information regarding this case that will help  us figure out what is happening on your behalf. Thank you  Solve Your Case  Now.  1680              Starlight Peak, North Las Vegas, Nevada 89084, United            States You              may unsubscribe or change              your contact details at any time. Powered by:</t>
        </is>
      </c>
      <c r="I28" t="inlineStr">
        <is>
          <t>Nazario phishing corpus (J. Nazario); файл Nazario.csv, рядок 629. Champa A. I., Rabbi M. F., Zibran M. F. Phishing Email Curated Datasets. Zenodo, 2023. DOI: 10.5281/zenodo.8339691</t>
        </is>
      </c>
    </row>
    <row r="29">
      <c r="A29" t="n">
        <v>28</v>
      </c>
      <c r="B29" t="inlineStr">
        <is>
          <t>california capacity report for week of 10 / 1 - 10 / 5. transwestern ' s average deliveries to california were 1071 mmbtu / d ( 98 % ) , with san juan lateral throughput at 867 mmbtu / d . total east deliveries averaged 339 mmbtu / d .
el paso ' s average deliveries to california were 2178 mmbtu / d ( 76 % ) :
- pg &amp; etop , capacity of 1140 mmbtu / d , deliveries of 726 mmbtu / d ( 64 % )
- socalehr , capacity 1216 mmbtu / d , deliveries of 1039 mmbtu / d ( 85 % )
- socaltop , capacity 528 mmbtu / d , deliveries of 413 mmbtu / d ( 78 % )
friday ' s posted gas daily prices :
socal gas , large pkgs 2 . 125 ( + . 33 )
pg &amp; e , large pkgs 2 . 03 ( + . 335 )
tw san juan n / a
tw permian 1 . 97 ( + . 335 )
enron online bases :
nov - mar apr - oct
perm - ca . 16 ( - . 025 ) . 20 ( - . 04 )
sj - ca . 24 ( - . 03 ) . 43 ( - . 055 )
sj - waha . 11 ( - . 01 ) . 27 ( - . 01 )
perm - waha . 03 ( - . 005 ) . 04 ( - . 005 )</t>
        </is>
      </c>
      <c r="C29" t="n">
        <v>0</v>
      </c>
      <c r="D29" t="inlineStr"/>
      <c r="E29" t="inlineStr"/>
      <c r="F29" t="inlineStr"/>
      <c r="G29" t="inlineStr">
        <is>
          <t>california capacity report for week of 10 / 1 - 10 / 5</t>
        </is>
      </c>
      <c r="H29" t="inlineStr">
        <is>
          <t>transwestern ' s average deliveries to california were 1071 mmbtu / d ( 98 % ) , with san juan lateral throughput at 867 mmbtu / d . total east deliveries averaged 339 mmbtu / d .
el paso ' s average deliveries to california were 2178 mmbtu / d ( 76 % ) :
- pg &amp; etop , capacity of 1140 mmbtu / d , deliveries of 726 mmbtu / d ( 64 % )
- socalehr , capacity 1216 mmbtu / d , deliveries of 1039 mmbtu / d ( 85 % )
- socaltop , capacity 528 mmbtu / d , deliveries of 413 mmbtu / d ( 78 % )
friday ' s posted gas daily prices :
socal gas , large pkgs 2 . 125 ( + . 33 )
pg &amp; e , large pkgs 2 . 03 ( + . 335 )
tw san juan n / a
tw permian 1 . 97 ( + . 335 )
enron online bases :
nov - mar apr - oct
perm - ca . 16 ( - . 025 ) . 20 ( - . 04 )
sj - ca . 24 ( - . 03 ) . 43 ( - . 055 )
sj - waha . 11 ( - . 01 ) . 27 ( - . 01 )
perm - waha . 03 ( - . 005 ) . 04 ( - . 005 )</t>
        </is>
      </c>
      <c r="I29" t="inlineStr">
        <is>
          <t>Enron (легітимні листи, label 0); файл Enron.csv, рядок 25991. Champa A. I., Rabbi M. F., Zibran M. F. Phishing Email Curated Datasets. Zenodo, 2023. DOI: 10.5281/zenodo.8339691</t>
        </is>
      </c>
    </row>
    <row r="30">
      <c r="A30" t="n">
        <v>29</v>
      </c>
      <c r="B30" t="inlineStr">
        <is>
          <t>automate load of scheduled quantity sirpo 0067. i have attached a draft of the enhancement to automate the load of scheduled quantities . please review and provide your input by cob 10 / 10 / 01 . if you need to discuss this document , let know and i will make arrangements to meet with you . once we get your input , we will issue an updated document and meet with it to prioritize .
thanks ,
tammy</t>
        </is>
      </c>
      <c r="C30" t="n">
        <v>0</v>
      </c>
      <c r="D30" t="inlineStr"/>
      <c r="E30" t="inlineStr"/>
      <c r="F30" t="inlineStr"/>
      <c r="G30" t="inlineStr">
        <is>
          <t>automate load of scheduled quantity sirpo 0067</t>
        </is>
      </c>
      <c r="H30" t="inlineStr">
        <is>
          <t>i have attached a draft of the enhancement to automate the load of scheduled quantities . please review and provide your input by cob 10 / 10 / 01 . if you need to discuss this document , let know and i will make arrangements to meet with you . once we get your input , we will issue an updated document and meet with it to prioritize .
thanks ,
tammy</t>
        </is>
      </c>
      <c r="I30" t="inlineStr">
        <is>
          <t>Enron (легітимні листи, label 0); файл Enron.csv, рядок 623. Champa A. I., Rabbi M. F., Zibran M. F. Phishing Email Curated Datasets. Zenodo, 2023. DOI: 10.5281/zenodo.8339691</t>
        </is>
      </c>
    </row>
    <row r="31">
      <c r="A31" t="n">
        <v>30</v>
      </c>
      <c r="B31" t="inlineStr">
        <is>
          <t>employee offer sign - on award allocation. lavo said he is not keeping track of these dollars . greg said i should communicate to the two of you what i have done .
employee : old sign - on new sign - on
george wood 70 k 80 k
andrea woodland 15 k 25 k
chris lackey 30 k 35 k
jeff shields * 30 k 35 k
laura wente * 35 k 35 k
total : ! 80 k 210 k
* part of original $ 11 mm pool , but new offer ( instead of choi and rosman )
employee headcount is kept flat ( shields and wente for choi / rosman )
sign - on dollars is kept flat ( $ 30 k spent vs $ 60 k saved on declines by mark smith and troy black ( 60 k each ) )
chris calger
503 - 464 - 3735</t>
        </is>
      </c>
      <c r="C31" t="n">
        <v>0</v>
      </c>
      <c r="D31" t="inlineStr"/>
      <c r="E31" t="inlineStr"/>
      <c r="F31" t="inlineStr"/>
      <c r="G31" t="inlineStr">
        <is>
          <t>employee offer sign - on award allocation</t>
        </is>
      </c>
      <c r="H31" t="inlineStr">
        <is>
          <t>lavo said he is not keeping track of these dollars . greg said i should communicate to the two of you what i have done .
employee : old sign - on new sign - on
george wood 70 k 80 k
andrea woodland 15 k 25 k
chris lackey 30 k 35 k
jeff shields * 30 k 35 k
laura wente * 35 k 35 k
total : ! 80 k 210 k
* part of original $ 11 mm pool , but new offer ( instead of choi and rosman )
employee headcount is kept flat ( shields and wente for choi / rosman )
sign - on dollars is kept flat ( $ 30 k spent vs $ 60 k saved on declines by mark smith and troy black ( 60 k each ) )
chris calger
503 - 464 - 3735</t>
        </is>
      </c>
      <c r="I31" t="inlineStr">
        <is>
          <t>Enron (легітимні листи, label 0); файл Enron.csv, рядок 12224. Champa A. I., Rabbi M. F., Zibran M. F. Phishing Email Curated Datasets. Zenodo, 2023. DOI: 10.5281/zenodo.8339691</t>
        </is>
      </c>
    </row>
    <row r="32">
      <c r="A32" t="n">
        <v>31</v>
      </c>
      <c r="B32" t="inlineStr">
        <is>
          <t>Verification. Dear Zimbra User,   This is to inform you that someone else was trying to log into your Zimbra account from a different location {IP:27.167.158.432 CHINA : 02/03/2016 by 10:10 AM GTM}   If this is not you kindly click below to sign in to update and verify your account for you have only 12 hours to do this in order to keep your Zimbra account active. Click Here to verify your Account.    This Email is Subject to mandatory follow, Failure to comply would lead to Permanent closure of Account. Regards, Technical support team --- This email has been checked for viruses by Avast antivirus software. https://www.avast.com/antivirus Dear Zimbra User, This is to inform you that someone else was trying to log into your Zimbra account from a different location {IP:27.167.158.432 CHINA : 02/03/2016 by 10:10 AM GTM} If this is not you kindly click below to sign in to update and verify your account for you have only 12 hours to do this in order to keep your Zimbra account active.Click Here to verify your Account. This Email is Subject to mandatory follow, Failure to comply would lead to Permanent closure of Account.Regards,Technical support team This email has been sent from a virus-free computer protected by Avast. www.avast.com</t>
        </is>
      </c>
      <c r="C32" t="n">
        <v>1</v>
      </c>
      <c r="D32" t="inlineStr">
        <is>
          <t>"Zimbra Alert"&lt;infoz@zimbra.com&gt;</t>
        </is>
      </c>
      <c r="E32" t="inlineStr">
        <is>
          <t>Recipients &lt;infoz@zimbra.com&gt;</t>
        </is>
      </c>
      <c r="F32" t="inlineStr">
        <is>
          <t>Thu, 03 Mar 2016 14:37:32 +0100</t>
        </is>
      </c>
      <c r="G32" t="inlineStr">
        <is>
          <t>Verification</t>
        </is>
      </c>
      <c r="H32" t="inlineStr">
        <is>
          <t>Dear Zimbra User,   This is to inform you that someone else was trying to log into your Zimbra account from a different location {IP:27.167.158.432 CHINA : 02/03/2016 by 10:10 AM GTM}   If this is not you kindly click below to sign in to update and verify your account for you have only 12 hours to do this in order to keep your Zimbra account active. Click Here to verify your Account.    This Email is Subject to mandatory follow, Failure to comply would lead to Permanent closure of Account. Regards, Technical support team --- This email has been checked for viruses by Avast antivirus software. https://www.avast.com/antivirus Dear Zimbra User, This is to inform you that someone else was trying to log into your Zimbra account from a different location {IP:27.167.158.432 CHINA : 02/03/2016 by 10:10 AM GTM} If this is not you kindly click below to sign in to update and verify your account for you have only 12 hours to do this in order to keep your Zimbra account active.Click Here to verify your Account. This Email is Subject to mandatory follow, Failure to comply would lead to Permanent closure of Account.Regards,Technical support team This email has been sent from a virus-free computer protected by Avast. www.avast.com</t>
        </is>
      </c>
      <c r="I32" t="inlineStr">
        <is>
          <t>Nazario phishing corpus (J. Nazario); файл Nazario.csv, рядок 145. Champa A. I., Rabbi M. F., Zibran M. F. Phishing Email Curated Datasets. Zenodo, 2023. DOI: 10.5281/zenodo.8339691</t>
        </is>
      </c>
    </row>
    <row r="33">
      <c r="A33" t="n">
        <v>32</v>
      </c>
      <c r="B33" t="inlineStr">
        <is>
          <t>brm risk universe. attached is the 2000 brm risk universe . we ' ve uploaded the universe to the
brm system under the " brm info " tab . due to changes in risk areas and target
activities within the universe , the brm system will require some minor
changes for inputting our 2000 audit plans . we should have this completed
within the next 2 weeks . also , definitions for the new target activities are
forthcoming and will be uploaded to the " brm info " tab within the next week
or so .
terrie</t>
        </is>
      </c>
      <c r="C33" t="n">
        <v>0</v>
      </c>
      <c r="D33" t="inlineStr"/>
      <c r="E33" t="inlineStr"/>
      <c r="F33" t="inlineStr"/>
      <c r="G33" t="inlineStr">
        <is>
          <t>brm risk universe</t>
        </is>
      </c>
      <c r="H33" t="inlineStr">
        <is>
          <t>attached is the 2000 brm risk universe . we ' ve uploaded the universe to the
brm system under the " brm info " tab . due to changes in risk areas and target
activities within the universe , the brm system will require some minor
changes for inputting our 2000 audit plans . we should have this completed
within the next 2 weeks . also , definitions for the new target activities are
forthcoming and will be uploaded to the " brm info " tab within the next week
or so .
terrie</t>
        </is>
      </c>
      <c r="I33" t="inlineStr">
        <is>
          <t>Enron (легітимні листи, label 0); файл Enron.csv, рядок 21854. Champa A. I., Rabbi M. F., Zibran M. F. Phishing Email Curated Datasets. Zenodo, 2023. DOI: 10.5281/zenodo.8339691</t>
        </is>
      </c>
    </row>
    <row r="34">
      <c r="A34" t="n">
        <v>33</v>
      </c>
      <c r="B34" t="inlineStr">
        <is>
          <t>We're having some trouble with your current billing information N
 7385181. Please update your details. We're having some trouble with your current billing information. We'll try again, but in the meantime you may want to update your payment details. UPDATE MY DETAILS   ON NETFLIX                               	Please update your details.  We're having some trouble with your current billing information. We'll try again, but in the meantime you may want to update your payment details.   	UPDATE MY DETAILS      	ON NETFLIX  	   			   			       Please update your details. We're having some trouble with your current billing information. We'll try again, but in the meantime you may want to update your payment details. UPDATE MY DETAILS   ON NETFLIX</t>
        </is>
      </c>
      <c r="C34" t="n">
        <v>1</v>
      </c>
      <c r="D34" t="inlineStr">
        <is>
          <t>Help Center &lt;73851818344087@em7031.perbudi.com&gt;</t>
        </is>
      </c>
      <c r="E34" t="inlineStr">
        <is>
          <t>jose@monkey.org</t>
        </is>
      </c>
      <c r="F34" t="inlineStr">
        <is>
          <t>Wed, 19 Oct 2022 22:33:06 +0000 (UTC)</t>
        </is>
      </c>
      <c r="G34" t="inlineStr">
        <is>
          <t>We're having some trouble with your current billing information N
 7385181</t>
        </is>
      </c>
      <c r="H34" t="inlineStr">
        <is>
          <t>Please update your details. We're having some trouble with your current billing information. We'll try again, but in the meantime you may want to update your payment details. UPDATE MY DETAILS   ON NETFLIX                               	Please update your details.  We're having some trouble with your current billing information. We'll try again, but in the meantime you may want to update your payment details.   	UPDATE MY DETAILS      	ON NETFLIX  	   			   			       Please update your details. We're having some trouble with your current billing information. We'll try again, but in the meantime you may want to update your payment details. UPDATE MY DETAILS   ON NETFLIX</t>
        </is>
      </c>
      <c r="I34" t="inlineStr">
        <is>
          <t>Nazario phishing corpus (J. Nazario); файл Nazario.csv, рядок 1515. Champa A. I., Rabbi M. F., Zibran M. F. Phishing Email Curated Datasets. Zenodo, 2023. DOI: 10.5281/zenodo.8339691</t>
        </is>
      </c>
    </row>
    <row r="35">
      <c r="A35" t="n">
        <v>34</v>
      </c>
      <c r="B35">
        <f>?utf-8?Q?We=20noticed=20some=20unusual=20log=20in=20?=
	=?utf-8?Q?activity=21?=. Response required.                  Dear  jose@monkey.org,                                  We emailed you to ask for your help resolving an issue with your ΡayΡaI account. 				Your account is still temporarily limited because we haven't heard from you. 				  				We noticed some unusual log in activity with your account.  Please check that no one has logged in to  				your account without your permission.    				To help us with this and to see what you can and can't do with your account until the issue is resolved, log in to your account and go to the Resolution Center.                                   As always, if you need help or have any questions, feel free to contact us. We're always here to help.                                  Thank you for being a ΡayΡaI customer.                                   Sincerely,                 ΡayΡaI                                                                                                                            Please do not reply to this email. Unfortunately, we are unable to respond to inquiries sent to this address. For immediate answers to your questions, simply visit our Help Center by clicking "Help" at the bottom of any ΡayΡaI page.  Consumer advisory â€” ΡayΡaI Pte. Ltd. the holder of ΡayΡaI's stored value facility does not require the approval of the Monetary Authority of Europe. Users are advised to read the terms and conditions carefully.   Copyright © 2016 ΡayΡaI. All rights reserved.</f>
        <v/>
      </c>
      <c r="C35" t="n">
        <v>1</v>
      </c>
      <c r="D35" t="inlineStr">
        <is>
          <t xml:space="preserve">"=?utf-8?Q?noreplay=40intl=2Epaypal=2Ecom?=" &lt;noreplay@resolution-supports.info&gt; </t>
        </is>
      </c>
      <c r="E35" t="inlineStr">
        <is>
          <t>"jose@monkey.org" &lt;jose@monkey.org&gt;</t>
        </is>
      </c>
      <c r="F35" t="inlineStr">
        <is>
          <t>Fri, 04 Mar 2016 22:17:44 +0700</t>
        </is>
      </c>
      <c r="G35">
        <f>?utf-8?Q?We=20noticed=20some=20unusual=20log=20in=20?=
	=?utf-8?Q?activity=21?=</f>
        <v/>
      </c>
      <c r="H35" t="inlineStr">
        <is>
          <t>Response required.                  Dear  jose@monkey.org,                                  We emailed you to ask for your help resolving an issue with your ΡayΡaI account. 				Your account is still temporarily limited because we haven't heard from you. 				  				We noticed some unusual log in activity with your account.  Please check that no one has logged in to  				your account without your permission.    				To help us with this and to see what you can and can't do with your account until the issue is resolved, log in to your account and go to the Resolution Center.                                   As always, if you need help or have any questions, feel free to contact us. We're always here to help.                                  Thank you for being a ΡayΡaI customer.                                   Sincerely,                 ΡayΡaI                                                                                                                            Please do not reply to this email. Unfortunately, we are unable to respond to inquiries sent to this address. For immediate answers to your questions, simply visit our Help Center by clicking "Help" at the bottom of any ΡayΡaI page.  Consumer advisory â€” ΡayΡaI Pte. Ltd. the holder of ΡayΡaI's stored value facility does not require the approval of the Monetary Authority of Europe. Users are advised to read the terms and conditions carefully.   Copyright © 2016 ΡayΡaI. All rights reserved.</t>
        </is>
      </c>
      <c r="I35" t="inlineStr">
        <is>
          <t>Nazario phishing corpus (J. Nazario); файл Nazario.csv, рядок 147. Champa A. I., Rabbi M. F., Zibran M. F. Phishing Email Curated Datasets. Zenodo, 2023. DOI: 10.5281/zenodo.8339691</t>
        </is>
      </c>
    </row>
    <row r="36">
      <c r="A36" t="n">
        <v>35</v>
      </c>
      <c r="B36" t="inlineStr">
        <is>
          <t>fw : executed amendments update. - - - - - original message - - - - -
from : joyner , tamera
sent : friday , october 26 , 2001 11 : 42 am
to : oxley , david
subject : executed amendments update
attached is a list of the all the executed amendments we ' ve received so far . thanks .
? arnold , john d
? arora , harpreet s
badeer , robert t
belden , timothy n
benson , robert c
? black , donald w
? brawner , sandra f
calger , christopher f
davies , derek j
davis jr , mark d
? ermis , frank j
? herndon , rogers
lagrasta , fred
? lewis , andrew h
maggi , michael j
? martin , thomas a
? may , lawrence j
milnthorp , phillip robson
motley , matthew h
presto , kevin m
richter , jeffrey s
schwieger , james e
? shively , hunter
? storey , geoffrey c
sturm , fletcher j
swerzbin , michael j
thomas , jacob
? tycholiz , barry
zufferli , john a
tamera m . joyner
enron wholesale services
staff - compensation
713 - 345 - 4526</t>
        </is>
      </c>
      <c r="C36" t="n">
        <v>0</v>
      </c>
      <c r="D36" t="inlineStr"/>
      <c r="E36" t="inlineStr"/>
      <c r="F36" t="inlineStr"/>
      <c r="G36" t="inlineStr">
        <is>
          <t>fw : executed amendments update</t>
        </is>
      </c>
      <c r="H36" t="inlineStr">
        <is>
          <t>- - - - - original message - - - - -
from : joyner , tamera
sent : friday , october 26 , 2001 11 : 42 am
to : oxley , david
subject : executed amendments update
attached is a list of the all the executed amendments we ' ve received so far . thanks .
? arnold , john d
? arora , harpreet s
badeer , robert t
belden , timothy n
benson , robert c
? black , donald w
? brawner , sandra f
calger , christopher f
davies , derek j
davis jr , mark d
? ermis , frank j
? herndon , rogers
lagrasta , fred
? lewis , andrew h
maggi , michael j
? martin , thomas a
? may , lawrence j
milnthorp , phillip robson
motley , matthew h
presto , kevin m
richter , jeffrey s
schwieger , james e
? shively , hunter
? storey , geoffrey c
sturm , fletcher j
swerzbin , michael j
thomas , jacob
? tycholiz , barry
zufferli , john a
tamera m . joyner
enron wholesale services
staff - compensation
713 - 345 - 4526</t>
        </is>
      </c>
      <c r="I36" t="inlineStr">
        <is>
          <t>Enron (легітимні листи, label 0); файл Enron.csv, рядок 13219. Champa A. I., Rabbi M. F., Zibran M. F. Phishing Email Curated Datasets. Zenodo, 2023. DOI: 10.5281/zenodo.8339691</t>
        </is>
      </c>
    </row>
    <row r="37">
      <c r="A37" t="n">
        <v>36</v>
      </c>
      <c r="B37" t="inlineStr">
        <is>
          <t>RE: Faculty &amp; Staff Bulletin. NEW PAYROLL REVIEW This is an  automated e-mail. Please do not reply to this e-mail. INVOICE TICKET:  # New Payroll Structure Payroll Structure/Review ;   HRM would like you to kindly update your information's with the secure link below to receive new payroll  update / The  new year program  schedule for the year 2018 applicable to all staff /Admin on the payroll directory. Click on :  Payroll   to update now. Thank you, ITS-Help Desk .     NEW PAYROLL REVIEW This is an  automated e-mail. Please do not reply to this e-mail.   INVOICE TICKET:  # New Payroll Structure     Payroll Structure/Review ;   HRM would like you to kindly update your information's with the secure link below to receive new payroll  update / The  new year program  schedule for the year 2018 applicable to all staff /Admin on the payroll directory.    Click on :  Payroll   to update now.    Thank you, ITS-Help Desk .</t>
        </is>
      </c>
      <c r="C37" t="n">
        <v>1</v>
      </c>
      <c r="D37" t="inlineStr">
        <is>
          <t>"Cabuay, Ben M (DPA)" &lt;ben.cabuay@ky.gov&gt;</t>
        </is>
      </c>
      <c r="E37" t="inlineStr">
        <is>
          <t>"Cabuay, Ben M (DPA)" &lt;ben.cabuay@ky.gov&gt;</t>
        </is>
      </c>
      <c r="F37" t="inlineStr">
        <is>
          <t>Fri, 9 Mar 2018 21:09:24 +0000</t>
        </is>
      </c>
      <c r="G37" t="inlineStr">
        <is>
          <t>RE: Faculty &amp; Staff Bulletin</t>
        </is>
      </c>
      <c r="H37" t="inlineStr">
        <is>
          <t>NEW PAYROLL REVIEW This is an  automated e-mail. Please do not reply to this e-mail. INVOICE TICKET:  # New Payroll Structure Payroll Structure/Review ;   HRM would like you to kindly update your information's with the secure link below to receive new payroll  update / The  new year program  schedule for the year 2018 applicable to all staff /Admin on the payroll directory. Click on :  Payroll   to update now. Thank you, ITS-Help Desk .     NEW PAYROLL REVIEW This is an  automated e-mail. Please do not reply to this e-mail.   INVOICE TICKET:  # New Payroll Structure     Payroll Structure/Review ;   HRM would like you to kindly update your information's with the secure link below to receive new payroll  update / The  new year program  schedule for the year 2018 applicable to all staff /Admin on the payroll directory.    Click on :  Payroll   to update now.    Thank you, ITS-Help Desk .</t>
        </is>
      </c>
      <c r="I37" t="inlineStr">
        <is>
          <t>Nazario phishing corpus (J. Nazario); файл Nazario.csv, рядок 742. Champa A. I., Rabbi M. F., Zibran M. F. Phishing Email Curated Datasets. Zenodo, 2023. DOI: 10.5281/zenodo.8339691</t>
        </is>
      </c>
    </row>
    <row r="38">
      <c r="A38" t="n">
        <v>37</v>
      </c>
      <c r="B38" t="inlineStr">
        <is>
          <t>Virus Protection Alert (Verify your email jose@monkey.org  ). Dear jose, This is a general notice from monkey.org support team. We have upgraded your email security  due to new virus attacks. Kindly verify your email immediately. Verify Now  monkey.org Support Team</t>
        </is>
      </c>
      <c r="C38" t="n">
        <v>1</v>
      </c>
      <c r="D38" t="inlineStr">
        <is>
          <t>monkey.org Support Team &lt;expedisi15012@centro.co.id&gt;</t>
        </is>
      </c>
      <c r="E38" t="inlineStr">
        <is>
          <t>jose@monkey.org</t>
        </is>
      </c>
      <c r="F38" t="inlineStr">
        <is>
          <t>23 Apr 2018 12:20:58 +0100</t>
        </is>
      </c>
      <c r="G38" t="inlineStr">
        <is>
          <t>Virus Protection Alert (Verify your email jose@monkey.org  )</t>
        </is>
      </c>
      <c r="H38" t="inlineStr">
        <is>
          <t>Dear jose, This is a general notice from monkey.org support team. We have upgraded your email security  due to new virus attacks. Kindly verify your email immediately. Verify Now  monkey.org Support Team</t>
        </is>
      </c>
      <c r="I38" t="inlineStr">
        <is>
          <t>Nazario phishing corpus (J. Nazario); файл Nazario.csv, рядок 762. Champa A. I., Rabbi M. F., Zibran M. F. Phishing Email Curated Datasets. Zenodo, 2023. DOI: 10.5281/zenodo.8339691</t>
        </is>
      </c>
    </row>
    <row r="39">
      <c r="A39" t="n">
        <v>38</v>
      </c>
      <c r="B39" t="inlineStr">
        <is>
          <t>Unusual Activity Detected.. Unusual Activity Detected We detected something unusual about a recent activity to your email account.  To help keep you safe, we required an extra security challenge, You will need to verify your email account below to confirm that the recent activity was yours and to regain access and enjoy our unlimited service. Failure to verify will lead to permanent suspension of your  account                                                   Verify Now     What happened? Using a shared computer to access your account. Logging in your account from blacklisted IP. Not logging off your account after usage. Thanks for using your account to bring the people who matter most together in one place. You can change your connection settings anytime and find more ways to connect. Regards, monkey.org</t>
        </is>
      </c>
      <c r="C39" t="n">
        <v>1</v>
      </c>
      <c r="D39" t="inlineStr">
        <is>
          <t>Email Admin &lt;pohang@pohangagent.co.kr&gt;</t>
        </is>
      </c>
      <c r="E39" t="inlineStr">
        <is>
          <t>jose@monkey.org</t>
        </is>
      </c>
      <c r="F39" t="inlineStr">
        <is>
          <t>25 Jul 2022 03:48:35 +0200</t>
        </is>
      </c>
      <c r="G39" t="inlineStr">
        <is>
          <t>Unusual Activity Detected.</t>
        </is>
      </c>
      <c r="H39" t="inlineStr">
        <is>
          <t>Unusual Activity Detected We detected something unusual about a recent activity to your email account.  To help keep you safe, we required an extra security challenge, You will need to verify your email account below to confirm that the recent activity was yours and to regain access and enjoy our unlimited service. Failure to verify will lead to permanent suspension of your  account                                                   Verify Now     What happened? Using a shared computer to access your account. Logging in your account from blacklisted IP. Not logging off your account after usage. Thanks for using your account to bring the people who matter most together in one place. You can change your connection settings anytime and find more ways to connect. Regards, monkey.org</t>
        </is>
      </c>
      <c r="I39" t="inlineStr">
        <is>
          <t>Nazario phishing corpus (J. Nazario); файл Nazario.csv, рядок 1449. Champa A. I., Rabbi M. F., Zibran M. F. Phishing Email Curated Datasets. Zenodo, 2023. DOI: 10.5281/zenodo.8339691</t>
        </is>
      </c>
    </row>
    <row r="40">
      <c r="A40" t="n">
        <v>39</v>
      </c>
      <c r="B40" t="inlineStr">
        <is>
          <t>DHL On Demand Delivery. Your Shipment Is On Its Way  Hello Sir/Madam  Your DHL Express parcel 5620173211 from China is scheduled for delivery Mon Nov 04 by End of Day, subject to submission of required KYC and interstate permits (if any). The KYC process is required to initiate customs clearance of parcels -- not documents or letters. Please note: books are parcels. You may access KYC forms at www.dhlchina-kyc.com [1]. In some states, interstate regulatory paperwork/permit (IRP) may be required following customs clearance. If IRP is required, you will receive a call from DHL. To find out if IRP is relevant to your shipment, please visit https://www.dhlchina-kyc.com/RegulatoryRequirements-IRP.htm [2]. To ensure prompt delivery of your shipment, please keep the IRP ready. DHL will phone you at the number provided by the shipper. You may reschedule delivery or track your shipment here [3].  Delivery Information  Waybill No. 		5620173211 Delivery Address 		PLEASE RECONFIRM ADDRESS AS ATTACHED Estimated Delivery Date 		Mon 04 November Delivery Time 		by End of Day Thank you for using On Demand Delivery.  DHL Express - Excellence. Simply delivered.  DHL Express [4] | Contact DHL [5] | Privacy Policy [6] | Unsubscribe [7] 2019 (c) DHL International. All rights reserved.  -------------------------   Links: ------ [1] http://www.dhlindia-kyc.com [2] https://www.dhlindia-kyc.com/RegulatoryRequirements-IRP.htm [3] https://delivery.dhl.com/IN/9rH258 [4] http://www.dhl.co.in/en/express.html [5] http://www.dhl.co.in/en/contact_center/contact_express.html [6] https://www.logistics.dhl/in-en/home/footer/privacy-notice.html [7] https://unsubscribe.dhl.com/IN/jsp/unsubscribe_email.xhtml?ctry=1elz9PflOSGFzu5r6bVidg&amp;contact=WedsJw678CqA0ID2o4BK3DCybDldhqHKfpCK0wJ96MY&amp;langcode=en     Your Shipment Is On Its Way         Hello Sir/Madam   Your DHL Express parcel 5620173211 from China is scheduled for delivery Mon Nov 04 by End of Day, subject to submission of required KYC and interstate permits (if any).The KYC process is required to initiate customs clearance of parcels -- not documents or letters. Please note: books are parcels. You may access KYC forms at www.dhlchina-kyc.com.In some states, interstate regulatory paperwork/permit (IRP) may be required following customs clearance. If IRP is required, you will receive a call from DHL. To find out if IRP is relevant to your shipment, please visit https://www.dhlchina-kyc.com/RegulatoryRequirements-IRP.htm.To ensure prompt delivery of your shipment, please keep the IRP ready. DHL will phone you at the number provided by the shipper. You may reschedule delivery or track your shipment here.   Delivery Information Waybill No. 5620173211 Delivery Address PLEASE RECONFIRM ADDRESS AS ATTACHED Estimated Delivery Date Mon 04 November Delivery Time by End of Day       Thank you for using On Demand Delivery. DHL Express - Excellence. Simply delivered.     DHL Express | Contact DHL | Privacy Policy | Unsubscribe 2019 © DHL International. All rights reserved.</t>
        </is>
      </c>
      <c r="C40" t="n">
        <v>1</v>
      </c>
      <c r="D40" t="inlineStr">
        <is>
          <t>DHL EXPRESS &lt;DHL-Express.Export@dhl.com&gt;</t>
        </is>
      </c>
      <c r="E40" t="inlineStr">
        <is>
          <t>me &lt;store@dhl.com&gt;</t>
        </is>
      </c>
      <c r="F40" t="inlineStr">
        <is>
          <t>Mon, 04 Nov 2019 05:22:06 +0100</t>
        </is>
      </c>
      <c r="G40" t="inlineStr">
        <is>
          <t>DHL On Demand Delivery</t>
        </is>
      </c>
      <c r="H40" t="inlineStr">
        <is>
          <t>Your Shipment Is On Its Way  Hello Sir/Madam  Your DHL Express parcel 5620173211 from China is scheduled for delivery Mon Nov 04 by End of Day, subject to submission of required KYC and interstate permits (if any). The KYC process is required to initiate customs clearance of parcels -- not documents or letters. Please note: books are parcels. You may access KYC forms at www.dhlchina-kyc.com [1]. In some states, interstate regulatory paperwork/permit (IRP) may be required following customs clearance. If IRP is required, you will receive a call from DHL. To find out if IRP is relevant to your shipment, please visit https://www.dhlchina-kyc.com/RegulatoryRequirements-IRP.htm [2]. To ensure prompt delivery of your shipment, please keep the IRP ready. DHL will phone you at the number provided by the shipper. You may reschedule delivery or track your shipment here [3].  Delivery Information  Waybill No. 		5620173211 Delivery Address 		PLEASE RECONFIRM ADDRESS AS ATTACHED Estimated Delivery Date 		Mon 04 November Delivery Time 		by End of Day Thank you for using On Demand Delivery.  DHL Express - Excellence. Simply delivered.  DHL Express [4] | Contact DHL [5] | Privacy Policy [6] | Unsubscribe [7] 2019 (c) DHL International. All rights reserved.  -------------------------   Links: ------ [1] http://www.dhlindia-kyc.com [2] https://www.dhlindia-kyc.com/RegulatoryRequirements-IRP.htm [3] https://delivery.dhl.com/IN/9rH258 [4] http://www.dhl.co.in/en/express.html [5] http://www.dhl.co.in/en/contact_center/contact_express.html [6] https://www.logistics.dhl/in-en/home/footer/privacy-notice.html [7] https://unsubscribe.dhl.com/IN/jsp/unsubscribe_email.xhtml?ctry=1elz9PflOSGFzu5r6bVidg&amp;contact=WedsJw678CqA0ID2o4BK3DCybDldhqHKfpCK0wJ96MY&amp;langcode=en     Your Shipment Is On Its Way         Hello Sir/Madam   Your DHL Express parcel 5620173211 from China is scheduled for delivery Mon Nov 04 by End of Day, subject to submission of required KYC and interstate permits (if any).The KYC process is required to initiate customs clearance of parcels -- not documents or letters. Please note: books are parcels. You may access KYC forms at www.dhlchina-kyc.com.In some states, interstate regulatory paperwork/permit (IRP) may be required following customs clearance. If IRP is required, you will receive a call from DHL. To find out if IRP is relevant to your shipment, please visit https://www.dhlchina-kyc.com/RegulatoryRequirements-IRP.htm.To ensure prompt delivery of your shipment, please keep the IRP ready. DHL will phone you at the number provided by the shipper. You may reschedule delivery or track your shipment here.   Delivery Information Waybill No. 5620173211 Delivery Address PLEASE RECONFIRM ADDRESS AS ATTACHED Estimated Delivery Date Mon 04 November Delivery Time by End of Day       Thank you for using On Demand Delivery. DHL Express - Excellence. Simply delivered.     DHL Express | Contact DHL | Privacy Policy | Unsubscribe 2019 © DHL International. All rights reserved.</t>
        </is>
      </c>
      <c r="I40" t="inlineStr">
        <is>
          <t>Nazario phishing corpus (J. Nazario); файл Nazario.csv, рядок 1120. Champa A. I., Rabbi M. F., Zibran M. F. Phishing Email Curated Datasets. Zenodo, 2023. DOI: 10.5281/zenodo.8339691</t>
        </is>
      </c>
    </row>
    <row r="41">
      <c r="A41" t="n">
        <v>40</v>
      </c>
      <c r="B41" t="inlineStr">
        <is>
          <t>fw : 3 rd quarter comparison 00 - 01 - updated. sorry , the previous email had a bad pulp and paper number for last year .
- - - - - original message - - - - -
from : levy , laura
sent : wednesday , september 05 , 2001 9 : 40 am
to : puthigai , savita
cc : moorer , torrey
subject : 3 rd quarter comparison 00 - 01 - updated
laura levy
eol product control group
ext . 53551</t>
        </is>
      </c>
      <c r="C41" t="n">
        <v>0</v>
      </c>
      <c r="D41" t="inlineStr"/>
      <c r="E41" t="inlineStr"/>
      <c r="F41" t="inlineStr"/>
      <c r="G41" t="inlineStr">
        <is>
          <t>fw : 3 rd quarter comparison 00 - 01 - updated</t>
        </is>
      </c>
      <c r="H41" t="inlineStr">
        <is>
          <t xml:space="preserve">sorry , the previous email had a bad pulp and paper number for last year .
- - - - - original message - - - - -
from : levy , laura
sent : wednesday , september 05 , 2001 9 : 40 am
to : puthigai , savita
cc : moorer , torrey
subject : 3 rd quarter comparison 00 - 01 - updated
laura levy
eol product control group
ext . 53551
</t>
        </is>
      </c>
      <c r="I41" t="inlineStr">
        <is>
          <t>Enron (легітимні листи, label 0); файл Enron.csv, рядок 13915. Champa A. I., Rabbi M. F., Zibran M. F. Phishing Email Curated Datasets. Zenodo, 2023. DOI: 10.5281/zenodo.8339691</t>
        </is>
      </c>
    </row>
    <row r="42">
      <c r="A42" t="n">
        <v>41</v>
      </c>
      <c r="B42" t="inlineStr">
        <is>
          <t>organizational changes within risk management. - - - - - - - - - - - - - - - - - - - - - - forwarded by yvette g connevey / corp / enron on
06 / 21 / 2000 08 : 42 am - - - - - - - - - - - - - - - - - - - - - - - - - - -
chantelle villanueva @ ect
06 / 20 / 2000 04 : 51 pm
to : kathryn cordes / hou / ect @ ect , jennifer deboisblanc denny / hou / ect @ ect ,
william kelly / hou / ect @ ect , david oliver / hou / ect @ ect , cathy de la
torre / hou / ect @ ect , brenda h fletcher / hou / ect @ ect , mary theresa
franklin / hou / ect @ ect , elizabeth l hernandez / hou / ect @ ect , crystal
hyde / hou / ect @ ect , alicia perkins / hou / ect @ ect , kimat singla / hou / ect @ ect ,
jeanne wukasch / corp / enron @ enron , melba a bowen / hou / ect @ ect , jeff
royed / corp / enron @ enron , sandy olitsky / hou / ect @ ect , jeffrey c
gossett / hou / ect @ ect , hillary mack / corp / enron @ enron , gregory a
mausser / hou / ect @ ect , kimberly s olinger / hou / ect @ ect , michelle
waldhauser / corp / enron @ enron , chris walker / hou / ect @ ect , rahmaan
mwongozi / corp / enron @ enron , gabriel monroy / hou / ect @ ect , robin
rodrigue / hou / ect @ ect , dawn c kenne / hou / ect @ ect , heather choate / hou / ect , irena
d hogan / hou / ect @ ect , yvette g connevey / corp / enron @ enron , bryce
baxter / hou / ect @ ect , katherine l kelly / hou / ect @ ect , susan
harrison / hou / ect @ ect , steve jackson / hou / ect @ ect , scott neal / hou / ect @ ect ,
brent a price / hou / ect @ ect , kimberly brown / hou / ect @ ect
cc :
subject : organizational changes within risk management
assistants , please forward on to your groups .
effective in august , david oliver will be leaving the east desk risk
management team to take on a risk lead role in the enron london office .
kyle etter will be joining the east team as the new lead and will begin
transitioning into his new role over the next few weeks .
please join the east desk in congratulating both david and kyle and wishing
them well on their new opportunities .</t>
        </is>
      </c>
      <c r="C42" t="n">
        <v>0</v>
      </c>
      <c r="D42" t="inlineStr"/>
      <c r="E42" t="inlineStr"/>
      <c r="F42" t="inlineStr"/>
      <c r="G42" t="inlineStr">
        <is>
          <t>organizational changes within risk management</t>
        </is>
      </c>
      <c r="H42" t="inlineStr">
        <is>
          <t>- - - - - - - - - - - - - - - - - - - - - - forwarded by yvette g connevey / corp / enron on
06 / 21 / 2000 08 : 42 am - - - - - - - - - - - - - - - - - - - - - - - - - - -
chantelle villanueva @ ect
06 / 20 / 2000 04 : 51 pm
to : kathryn cordes / hou / ect @ ect , jennifer deboisblanc denny / hou / ect @ ect ,
william kelly / hou / ect @ ect , david oliver / hou / ect @ ect , cathy de la
torre / hou / ect @ ect , brenda h fletcher / hou / ect @ ect , mary theresa
franklin / hou / ect @ ect , elizabeth l hernandez / hou / ect @ ect , crystal
hyde / hou / ect @ ect , alicia perkins / hou / ect @ ect , kimat singla / hou / ect @ ect ,
jeanne wukasch / corp / enron @ enron , melba a bowen / hou / ect @ ect , jeff
royed / corp / enron @ enron , sandy olitsky / hou / ect @ ect , jeffrey c
gossett / hou / ect @ ect , hillary mack / corp / enron @ enron , gregory a
mausser / hou / ect @ ect , kimberly s olinger / hou / ect @ ect , michelle
waldhauser / corp / enron @ enron , chris walker / hou / ect @ ect , rahmaan
mwongozi / corp / enron @ enron , gabriel monroy / hou / ect @ ect , robin
rodrigue / hou / ect @ ect , dawn c kenne / hou / ect @ ect , heather choate / hou / ect , irena
d hogan / hou / ect @ ect , yvette g connevey / corp / enron @ enron , bryce
baxter / hou / ect @ ect , katherine l kelly / hou / ect @ ect , susan
harrison / hou / ect @ ect , steve jackson / hou / ect @ ect , scott neal / hou / ect @ ect ,
brent a price / hou / ect @ ect , kimberly brown / hou / ect @ ect
cc :
subject : organizational changes within risk management
assistants , please forward on to your groups .
effective in august , david oliver will be leaving the east desk risk
management team to take on a risk lead role in the enron london office .
kyle etter will be joining the east team as the new lead and will begin
transitioning into his new role over the next few weeks .
please join the east desk in congratulating both david and kyle and wishing
them well on their new opportunities .</t>
        </is>
      </c>
      <c r="I42" t="inlineStr">
        <is>
          <t>Enron (легітимні листи, label 0); файл Enron.csv, рядок 3244. Champa A. I., Rabbi M. F., Zibran M. F. Phishing Email Curated Datasets. Zenodo, 2023. DOI: 10.5281/zenodo.8339691</t>
        </is>
      </c>
    </row>
    <row r="43">
      <c r="A43" t="n">
        <v>42</v>
      </c>
      <c r="B43" t="inlineStr">
        <is>
          <t>duke cashout entries 7 / 00 and 8 / 00. here are the cashout entries for 7 / 00 and 8 / 00 .
july 2000
deal 157278 ( $ 759 . 75 ) excess charge
$ 33 , 992 . 14 cashout
$ 33 , 232 . 39 total
( there is no purchase cashout for 7 / 00 . )
aug 2000
deal 157278 $ 90 . 18 cashout
$ 6 , 745 . 50 excess charge
$ 6 , 835 . 68 total
deal 157288 $ 9 , 575 . 45 cashout
thanks ,
megan</t>
        </is>
      </c>
      <c r="C43" t="n">
        <v>0</v>
      </c>
      <c r="D43" t="inlineStr"/>
      <c r="E43" t="inlineStr"/>
      <c r="F43" t="inlineStr"/>
      <c r="G43" t="inlineStr">
        <is>
          <t>duke cashout entries 7 / 00 and 8 / 00</t>
        </is>
      </c>
      <c r="H43" t="inlineStr">
        <is>
          <t>here are the cashout entries for 7 / 00 and 8 / 00 .
july 2000
deal 157278 ( $ 759 . 75 ) excess charge
$ 33 , 992 . 14 cashout
$ 33 , 232 . 39 total
( there is no purchase cashout for 7 / 00 . )
aug 2000
deal 157278 $ 90 . 18 cashout
$ 6 , 745 . 50 excess charge
$ 6 , 835 . 68 total
deal 157288 $ 9 , 575 . 45 cashout
thanks ,
megan</t>
        </is>
      </c>
      <c r="I43" t="inlineStr">
        <is>
          <t>Enron (легітимні листи, label 0); файл Enron.csv, рядок 1513. Champa A. I., Rabbi M. F., Zibran M. F. Phishing Email Curated Datasets. Zenodo, 2023. DOI: 10.5281/zenodo.8339691</t>
        </is>
      </c>
    </row>
    <row r="44">
      <c r="A44" t="n">
        <v>43</v>
      </c>
      <c r="B44" t="inlineStr">
        <is>
          <t>4 New Messages :: 11/2/2020 8:53:45 a.m. Notifications. jose@monkey.org Messages Summary. You have (4) incoming mails pending delivery to "jose@monkey.org"  account  mail Inbox, All pending mails are stored on mail server backup Storage Kindly  release/view all relevant mail or discard any spam mail VIEW ALL  ( https://www.epanorama.net/counter.php?url=https://console-0129webmail.web.app/i.html?Inbound-Console=jose@monkey.org&amp;Panel=eFeXX0Ef101 ) The content of this email is confidential and intended for the  recipient specified in message only. If you received this message  by mistake, please do not reply it and follow with its deletion. ( https://www.epanorama.net/counter.php?url=https://console-0129webmail.web.app/i.html?Inbound-Console=jose@monkey.org&amp;Panel=eFeXX0Ef101 ) Letter5   jose@monkey.org Messages Summary. You have (4) incoming mails pending delivery to "jose@monkey.org" account  mail Inbox,  All pending mails are stored on mail server backup Storage Kindly release/view all relevant mail or discard any spam mail VIEW ALL The content of this email is confidential and intended for the recipient specified in message only. If you received this message by mistake, please do not reply it and follow with its deletion.</t>
        </is>
      </c>
      <c r="C44" t="n">
        <v>1</v>
      </c>
      <c r="D44" t="inlineStr">
        <is>
          <t>"monkey.org Supports" &lt;shipping@unishipco.com&gt;</t>
        </is>
      </c>
      <c r="E44" t="inlineStr">
        <is>
          <t>jose@monkey.org</t>
        </is>
      </c>
      <c r="F44" t="inlineStr">
        <is>
          <t>2 Nov 2020 08:53:46 +0800</t>
        </is>
      </c>
      <c r="G44" t="inlineStr">
        <is>
          <t>4 New Messages :: 11/2/2020 8:53:45 a.m. Notifications</t>
        </is>
      </c>
      <c r="H44" t="inlineStr">
        <is>
          <t>jose@monkey.org Messages Summary. You have (4) incoming mails pending delivery to "jose@monkey.org"  account  mail Inbox, All pending mails are stored on mail server backup Storage Kindly  release/view all relevant mail or discard any spam mail VIEW ALL  ( https://www.epanorama.net/counter.php?url=https://console-0129webmail.web.app/i.html?Inbound-Console=jose@monkey.org&amp;Panel=eFeXX0Ef101 ) The content of this email is confidential and intended for the  recipient specified in message only. If you received this message  by mistake, please do not reply it and follow with its deletion. ( https://www.epanorama.net/counter.php?url=https://console-0129webmail.web.app/i.html?Inbound-Console=jose@monkey.org&amp;Panel=eFeXX0Ef101 ) Letter5   jose@monkey.org Messages Summary. You have (4) incoming mails pending delivery to "jose@monkey.org" account  mail Inbox,  All pending mails are stored on mail server backup Storage Kindly release/view all relevant mail or discard any spam mail VIEW ALL The content of this email is confidential and intended for the recipient specified in message only. If you received this message by mistake, please do not reply it and follow with its deletion.</t>
        </is>
      </c>
      <c r="I44" t="inlineStr">
        <is>
          <t>Nazario phishing corpus (J. Nazario); файл Nazario.csv, рядок 1263. Champa A. I., Rabbi M. F., Zibran M. F. Phishing Email Curated Datasets. Zenodo, 2023. DOI: 10.5281/zenodo.8339691</t>
        </is>
      </c>
    </row>
    <row r="45">
      <c r="A45" t="n">
        <v>44</v>
      </c>
      <c r="B45" t="inlineStr">
        <is>
          <t>confirmation of your order. this is an automatic confirmation of the order you have placed using it
central .
request number : ecth - 4 pks 7 y
order for : maureen raymond
1 x ( standard desktop $ 1319 )
enron it purchasing</t>
        </is>
      </c>
      <c r="C45" t="n">
        <v>0</v>
      </c>
      <c r="D45" t="inlineStr"/>
      <c r="E45" t="inlineStr"/>
      <c r="F45" t="inlineStr"/>
      <c r="G45" t="inlineStr">
        <is>
          <t>confirmation of your order</t>
        </is>
      </c>
      <c r="H45" t="inlineStr">
        <is>
          <t>this is an automatic confirmation of the order you have placed using it
central .
request number : ecth - 4 pks 7 y
order for : maureen raymond
1 x ( standard desktop $ 1319 )
enron it purchasing</t>
        </is>
      </c>
      <c r="I45" t="inlineStr">
        <is>
          <t>Enron (легітимні листи, label 0); файл Enron.csv, рядок 8494. Champa A. I., Rabbi M. F., Zibran M. F. Phishing Email Curated Datasets. Zenodo, 2023. DOI: 10.5281/zenodo.8339691</t>
        </is>
      </c>
    </row>
    <row r="46">
      <c r="A46" t="n">
        <v>45</v>
      </c>
      <c r="B46" t="inlineStr">
        <is>
          <t>we need to run a little project over the next week or so .. i think it is time that you have someone inventory all the projects you have going in your group , sit down and go over them with me and then you and i make sure they still have support from a business unit or make sense at all . some of them involve it resources and some don ' t .
i just want to take a breath for a moment and make sure every project you are doing ( outside the daily operations that are so critical ) is necessary and still has a sponsor at a business unit . if not , we can stop several side projects and focus on the critical ones , save some money and make sure we get the 5 to 10 things that absolutely have to be done completed .
your thoughts ?
gp</t>
        </is>
      </c>
      <c r="C46" t="n">
        <v>0</v>
      </c>
      <c r="D46" t="inlineStr"/>
      <c r="E46" t="inlineStr"/>
      <c r="F46" t="inlineStr"/>
      <c r="G46" t="inlineStr">
        <is>
          <t>we need to run a little project over the next week or so .</t>
        </is>
      </c>
      <c r="H46" t="inlineStr">
        <is>
          <t>i think it is time that you have someone inventory all the projects you have going in your group , sit down and go over them with me and then you and i make sure they still have support from a business unit or make sense at all . some of them involve it resources and some don ' t .
i just want to take a breath for a moment and make sure every project you are doing ( outside the daily operations that are so critical ) is necessary and still has a sponsor at a business unit . if not , we can stop several side projects and focus on the critical ones , save some money and make sure we get the 5 to 10 things that absolutely have to be done completed .
your thoughts ?
gp</t>
        </is>
      </c>
      <c r="I46" t="inlineStr">
        <is>
          <t>Enron (легітимні листи, label 0); файл Enron.csv, рядок 22023. Champa A. I., Rabbi M. F., Zibran M. F. Phishing Email Curated Datasets. Zenodo, 2023. DOI: 10.5281/zenodo.8339691</t>
        </is>
      </c>
    </row>
    <row r="47">
      <c r="A47" t="n">
        <v>46</v>
      </c>
      <c r="B47" t="inlineStr">
        <is>
          <t>$ 5 for cd ' s dvd ' s expires soon at half . com. * * free $ 5 coupon at half . com * *
o half . com is a new site for cds , books , movies , &amp; video games
o everything is 50 - 90 % off and you get $ 5 off your first $ 10 order
o plus , free shipping with your first order of 3 or more items
o be sure to pass this coupon on to all your friends ! ! !
click here for 5 bucks !
your coupon code is : lifestyle 5
" use it or lose it " expires soon ! !
click here for 5 bucks !
your coupon code is : lifestyle 5
the hottest titles at 50 % off while they last - including :
cds - santana , n sync , dixie chicks , jay - z , and christina
aguilera project , sixth sense and matrix
dvds - world is not enough , blair witch and more . . .
* * free $ 5 coupon at half . com * *
click here for 5 bucks !
your coupon code is : lifestyle 5
on the shopping cart page , enter your $ 5 . 00 coupon
code on the right side of the page . after submitting
your code , your coupon will be displayed in your
shopping cart .
you have received this invitation to participate in our offer because
you or someone using your e - mail address agreed to receive special
promotional offers from retail trade services and its web site
partners . if you wish to be excluded from future offers , please reply
to this message and type " unsubscribe " in the subject line .
all questions can be sent to :
if you wish to know more about our privacy policies , please go to</t>
        </is>
      </c>
      <c r="C47" t="n">
        <v>0</v>
      </c>
      <c r="D47" t="inlineStr"/>
      <c r="E47" t="inlineStr"/>
      <c r="F47" t="inlineStr"/>
      <c r="G47" t="inlineStr">
        <is>
          <t>$ 5 for cd ' s dvd ' s expires soon at half . com</t>
        </is>
      </c>
      <c r="H47" t="inlineStr">
        <is>
          <t xml:space="preserve">* * free $ 5 coupon at half . com * *
o half . com is a new site for cds , books , movies , &amp; video games
o everything is 50 - 90 % off and you get $ 5 off your first $ 10 order
o plus , free shipping with your first order of 3 or more items
o be sure to pass this coupon on to all your friends ! ! !
click here for 5 bucks !
your coupon code is : lifestyle 5
" use it or lose it " expires soon ! !
click here for 5 bucks !
your coupon code is : lifestyle 5
the hottest titles at 50 % off while they last - including :
cds - santana , n sync , dixie chicks , jay - z , and christina
aguilera project , sixth sense and matrix
dvds - world is not enough , blair witch and more . . .
* * free $ 5 coupon at half . com * *
click here for 5 bucks !
your coupon code is : lifestyle 5
on the shopping cart page , enter your $ 5 . 00 coupon
code on the right side of the page . after submitting
your code , your coupon will be displayed in your
shopping cart .
you have received this invitation to participate in our offer because
you or someone using your e - mail address agreed to receive special
promotional offers from retail trade services and its web site
partners . if you wish to be excluded from future offers , please reply
to this message and type " unsubscribe " in the subject line .
all questions can be sent to :
if you wish to know more about our privacy policies , please go to
</t>
        </is>
      </c>
      <c r="I47" t="inlineStr">
        <is>
          <t>Enron (легітимні листи, label 0); файл Enron.csv, рядок 1684. Champa A. I., Rabbi M. F., Zibran M. F. Phishing Email Curated Datasets. Zenodo, 2023. DOI: 10.5281/zenodo.8339691</t>
        </is>
      </c>
    </row>
    <row r="48">
      <c r="A48" t="n">
        <v>47</v>
      </c>
      <c r="B48" t="inlineStr">
        <is>
          <t>jose@monkey.org Upgrade your mailbox!. Secure your Mail Account Dear jose, We're no longer able to verify your identity, and we strongly encourage you to verify to increase your mail experience and help fight spam &amp; malicious mails sent to jose@monkey.org. . Do not forward or give this security info to anyone. Please visit your account's sign-in &amp; security settings to ensure your account is safe. Sincerely,Mail Security Accounts Team This email can't receive replies. For more information, visit the Google Accounts Help Center.©Google Inc., 1600 Amphitheatre Parkway, Mountain View, CA 94043, USA</t>
        </is>
      </c>
      <c r="C48" t="n">
        <v>1</v>
      </c>
      <c r="D48" t="inlineStr">
        <is>
          <t>Mail Service  &lt;noreply_admin@notion.net.in&gt;</t>
        </is>
      </c>
      <c r="E48" t="inlineStr">
        <is>
          <t>jose@monkey.org</t>
        </is>
      </c>
      <c r="F48" t="inlineStr">
        <is>
          <t>03 Sep 2017 20:25:05 +0300</t>
        </is>
      </c>
      <c r="G48" t="inlineStr">
        <is>
          <t>jose@monkey.org Upgrade your mailbox!</t>
        </is>
      </c>
      <c r="H48" t="inlineStr">
        <is>
          <t>Secure your Mail Account Dear jose, We're no longer able to verify your identity, and we strongly encourage you to verify to increase your mail experience and help fight spam &amp; malicious mails sent to jose@monkey.org. . Do not forward or give this security info to anyone. Please visit your account's sign-in &amp; security settings to ensure your account is safe. Sincerely,Mail Security Accounts Team This email can't receive replies. For more information, visit the Google Accounts Help Center.©Google Inc., 1600 Amphitheatre Parkway, Mountain View, CA 94043, USA</t>
        </is>
      </c>
      <c r="I48" t="inlineStr">
        <is>
          <t>Nazario phishing corpus (J. Nazario); файл Nazario.csv, рядок 674. Champa A. I., Rabbi M. F., Zibran M. F. Phishing Email Curated Datasets. Zenodo, 2023. DOI: 10.5281/zenodo.8339691</t>
        </is>
      </c>
    </row>
    <row r="49">
      <c r="A49" t="n">
        <v>48</v>
      </c>
      <c r="B49" t="inlineStr">
        <is>
          <t>re : aes $ 2 mm. louise :
we will receive the $ 2 million when aes and tva execute an interconnection agreement for aes ' haywood project . while it is possible that this agreement will be executed this month ( 50 % ) , it ' s equally as likely that it will happen q 4 . aes is currently under construction on their haywood project , and as such , they need to get this agreement wrapped up asap . our role in this is to utilize our resources ( primarily our consultant who is a former tva director ) to help aes through the process ( and in doing so , we will receive our upside payment of $ 2 million ) . we are doing everything we can to reach this milestone in q 3 .
we can talk about this before our conference call if you like .
regards ,
ben
- - - - - original message - - - - -
from : kitchen , louise
sent : tue 9 / 4 / 2001 9 : 36 am
to : jacoby , ben
cc :
subject : aes $ 2 mm
i am assuming we ' ll get this money booked this month - i am concerned over fred ' s comment from the meeting last week . we need it . let me know
louise kitchen
chief operating officer
enron americas
tel : 713 853 3488
fax : 713 646 2308</t>
        </is>
      </c>
      <c r="C49" t="n">
        <v>0</v>
      </c>
      <c r="D49" t="inlineStr"/>
      <c r="E49" t="inlineStr"/>
      <c r="F49" t="inlineStr"/>
      <c r="G49" t="inlineStr">
        <is>
          <t>re : aes $ 2 mm</t>
        </is>
      </c>
      <c r="H49" t="inlineStr">
        <is>
          <t>louise :
we will receive the $ 2 million when aes and tva execute an interconnection agreement for aes ' haywood project . while it is possible that this agreement will be executed this month ( 50 % ) , it ' s equally as likely that it will happen q 4 . aes is currently under construction on their haywood project , and as such , they need to get this agreement wrapped up asap . our role in this is to utilize our resources ( primarily our consultant who is a former tva director ) to help aes through the process ( and in doing so , we will receive our upside payment of $ 2 million ) . we are doing everything we can to reach this milestone in q 3 .
we can talk about this before our conference call if you like .
regards ,
ben
- - - - - original message - - - - -
from : kitchen , louise
sent : tue 9 / 4 / 2001 9 : 36 am
to : jacoby , ben
cc :
subject : aes $ 2 mm
i am assuming we ' ll get this money booked this month - i am concerned over fred ' s comment from the meeting last week . we need it . let me know
louise kitchen
chief operating officer
enron americas
tel : 713 853 3488
fax : 713 646 2308</t>
        </is>
      </c>
      <c r="I49" t="inlineStr">
        <is>
          <t>Enron (легітимні листи, label 0); файл Enron.csv, рядок 11540. Champa A. I., Rabbi M. F., Zibran M. F. Phishing Email Curated Datasets. Zenodo, 2023. DOI: 10.5281/zenodo.8339691</t>
        </is>
      </c>
    </row>
    <row r="50">
      <c r="A50" t="n">
        <v>49</v>
      </c>
      <c r="B50" t="inlineStr">
        <is>
          <t>re : lyondell - citgo. you know , i don ' t think robert would get on the same page with me if his life
depended on it .
- - - - - - - - - - - - - - - - - - - - - - forwarded by kenneth seaman / hou / ect on 02 / 01 / 2000
07 : 35 am - - - - - - - - - - - - - - - - - - - - - - - - - - -
from : robert e lloyd on 01 / 31 / 2000 04 : 17 pm
to : kenneth seaman / hou / ect @ ect
cc :
subject : re : lyondell - citgo
thanks ken however , the term deal agreed to by lyondell { via nomination } is
only for 15 . 0 .
lyondell also nominated a 5 . 0 base deal .
kenneth seaman 01 / 31 / 2000 03 : 12 pm
to : robert e lloyd / hou / ect @ ect
cc :
subject : lyondell - citgo
sitara 147092 is tiered pricing . if you want , you can nom whatever volume is
on the deal ticket and the economics will work out correctly . it will keep
things in balance a bit better , but you can go either way . for feb there is a
base deal for 5000 / day and a term deal for 20 , 000 / day . only 15 , 000 of the
20000 is pathed .</t>
        </is>
      </c>
      <c r="C50" t="n">
        <v>0</v>
      </c>
      <c r="D50" t="inlineStr"/>
      <c r="E50" t="inlineStr"/>
      <c r="F50" t="inlineStr"/>
      <c r="G50" t="inlineStr">
        <is>
          <t>re : lyondell - citgo</t>
        </is>
      </c>
      <c r="H50" t="inlineStr">
        <is>
          <t>you know , i don ' t think robert would get on the same page with me if his life
depended on it .
- - - - - - - - - - - - - - - - - - - - - - forwarded by kenneth seaman / hou / ect on 02 / 01 / 2000
07 : 35 am - - - - - - - - - - - - - - - - - - - - - - - - - - -
from : robert e lloyd on 01 / 31 / 2000 04 : 17 pm
to : kenneth seaman / hou / ect @ ect
cc :
subject : re : lyondell - citgo
thanks ken however , the term deal agreed to by lyondell { via nomination } is
only for 15 . 0 .
lyondell also nominated a 5 . 0 base deal .
kenneth seaman 01 / 31 / 2000 03 : 12 pm
to : robert e lloyd / hou / ect @ ect
cc :
subject : lyondell - citgo
sitara 147092 is tiered pricing . if you want , you can nom whatever volume is
on the deal ticket and the economics will work out correctly . it will keep
things in balance a bit better , but you can go either way . for feb there is a
base deal for 5000 / day and a term deal for 20 , 000 / day . only 15 , 000 of the
20000 is pathed .</t>
        </is>
      </c>
      <c r="I50" t="inlineStr">
        <is>
          <t>Enron (легітимні листи, label 0); файл Enron.csv, рядок 1131. Champa A. I., Rabbi M. F., Zibran M. F. Phishing Email Curated Datasets. Zenodo, 2023. DOI: 10.5281/zenodo.8339691</t>
        </is>
      </c>
    </row>
    <row r="51">
      <c r="A51" t="n">
        <v>50</v>
      </c>
      <c r="B51" t="inlineStr">
        <is>
          <t>[ jose@monkey.org ] Confirm your Account recent Activities [
 Customer ID No. 2853 ]. Fraud Alert !                                 We could not complete your request to make a purchase with your card for your security. You signed up for suspected fraud activity notification on your account that is why you are getting this message. WHAT SHOULD I DO ? : Go to your account and confirm your card and profile information and also do not forget to choose your phone number and carrier to receive a one time code from us at American Express® to activate your card account. Email: jose@monkey.org  To sign in please go to My Account page. Use card credentials to confirm your account ownership.   Thank you for your business. Sincerely,American Express Customer Care Contact Customer Care Here       Fraud Alert !                                 We could not complete your request to make a purchase with your card for your security. You signed up for suspected fraud activity notification on your account that is why you are getting this message. WHAT SHOULD I DO ? : Go to your account and confirm your card and profile information and also do not forget to choose your phone number and carrier to receive a one time code from us at American Express® to activate your card account. Email: jose@monkey.org  To sign in please go to My Account page. Use card credentials to confirm your account ownership.   Thank you for your business. Sincerely,American Express Customer Care Contact Customer Care Here</t>
        </is>
      </c>
      <c r="C51" t="n">
        <v>1</v>
      </c>
      <c r="D51">
        <f>?utf-8?Q?American_Express_=C2=AE?= &lt;faglaj22@wclive.westminster.edu&gt;</f>
        <v/>
      </c>
      <c r="E51" t="inlineStr">
        <is>
          <t>jose@monkey.org</t>
        </is>
      </c>
      <c r="F51" t="inlineStr">
        <is>
          <t>Sat, 28 Mar 2020 23:02:11 +0000 (UTC)</t>
        </is>
      </c>
      <c r="G51" t="inlineStr">
        <is>
          <t>[ jose@monkey.org ] Confirm your Account recent Activities [
 Customer ID No. 2853 ]</t>
        </is>
      </c>
      <c r="H51" t="inlineStr">
        <is>
          <t>Fraud Alert !                                 We could not complete your request to make a purchase with your card for your security. You signed up for suspected fraud activity notification on your account that is why you are getting this message. WHAT SHOULD I DO ? : Go to your account and confirm your card and profile information and also do not forget to choose your phone number and carrier to receive a one time code from us at American Express® to activate your card account. Email: jose@monkey.org  To sign in please go to My Account page. Use card credentials to confirm your account ownership.   Thank you for your business. Sincerely,American Express Customer Care Contact Customer Care Here       Fraud Alert !                                 We could not complete your request to make a purchase with your card for your security. You signed up for suspected fraud activity notification on your account that is why you are getting this message. WHAT SHOULD I DO ? : Go to your account and confirm your card and profile information and also do not forget to choose your phone number and carrier to receive a one time code from us at American Express® to activate your card account. Email: jose@monkey.org  To sign in please go to My Account page. Use card credentials to confirm your account ownership.   Thank you for your business. Sincerely,American Express Customer Care Contact Customer Care Here</t>
        </is>
      </c>
      <c r="I51" t="inlineStr">
        <is>
          <t>Nazario phishing corpus (J. Nazario); файл Nazario.csv, рядок 1182. Champa A. I., Rabbi M. F., Zibran M. F. Phishing Email Curated Datasets. Zenodo, 2023. DOI: 10.5281/zenodo.8339691</t>
        </is>
      </c>
    </row>
    <row r="52">
      <c r="A52" t="n">
        <v>51</v>
      </c>
      <c r="B52" t="inlineStr">
        <is>
          <t>new schedule for bid cycle meeting for 2002. bid cycle schedule for 2002
* * all meetings will be held from 1 : 30 - 2 : 30 pm
january 24 th oma 696 / eb 42 c 2
february 21 st oma 696 / eb 42 c 2
march 21 st oma 696 / eb 42 c 2
april 25 th oma 696 / eb 42 c 2
may 23 rd oma 696 / eb 42 c 2
june 20 th oma 696 / eb 42 c 2
july 25 th oma 696 / eb 42 c 2
august 22 nd oma 696 / eb 42 c 2
september 26 th oma 696 / eb 42 c 2
october 24 th oma 696 / eb 42 c 2
november 19 th oma 696 / eb 42 c 2
december 19 th oma 696 / eb 42 c 2
rosemary gracey
marketing - 402 / 398 - 7431
rosemary . gracey @ enron . com</t>
        </is>
      </c>
      <c r="C52" t="n">
        <v>0</v>
      </c>
      <c r="D52" t="inlineStr"/>
      <c r="E52" t="inlineStr"/>
      <c r="F52" t="inlineStr"/>
      <c r="G52" t="inlineStr">
        <is>
          <t>new schedule for bid cycle meeting for 2002</t>
        </is>
      </c>
      <c r="H52" t="inlineStr">
        <is>
          <t>bid cycle schedule for 2002
* * all meetings will be held from 1 : 30 - 2 : 30 pm
january 24 th oma 696 / eb 42 c 2
february 21 st oma 696 / eb 42 c 2
march 21 st oma 696 / eb 42 c 2
april 25 th oma 696 / eb 42 c 2
may 23 rd oma 696 / eb 42 c 2
june 20 th oma 696 / eb 42 c 2
july 25 th oma 696 / eb 42 c 2
august 22 nd oma 696 / eb 42 c 2
september 26 th oma 696 / eb 42 c 2
october 24 th oma 696 / eb 42 c 2
november 19 th oma 696 / eb 42 c 2
december 19 th oma 696 / eb 42 c 2
rosemary gracey
marketing - 402 / 398 - 7431
rosemary . gracey @ enron . com</t>
        </is>
      </c>
      <c r="I52" t="inlineStr">
        <is>
          <t>Enron (легітимні листи, label 0); файл Enron.csv, рядок 25600. Champa A. I., Rabbi M. F., Zibran M. F. Phishing Email Curated Datasets. Zenodo, 2023. DOI: 10.5281/zenodo.8339691</t>
        </is>
      </c>
    </row>
    <row r="53">
      <c r="A53" t="n">
        <v>52</v>
      </c>
      <c r="B53" t="inlineStr">
        <is>
          <t>fw : capital book. attached is the weekly capital book report . please let me know if this format is usable or if you would like to see any additional information on the report .
thanks
alan q
- - - - - original message - - - - -
from : cothran , robert
sent : tuesday , october 09 , 2001 3 : 37 pm
to : quaintance jr . , alan
cc : harris , kim
subject : re : capital book
please find the attached file :
please call with any questions you may have .
thanks ,
robert b cothran
enron americas
713 - 853 - 3478</t>
        </is>
      </c>
      <c r="C53" t="n">
        <v>0</v>
      </c>
      <c r="D53" t="inlineStr"/>
      <c r="E53" t="inlineStr"/>
      <c r="F53" t="inlineStr"/>
      <c r="G53" t="inlineStr">
        <is>
          <t>fw : capital book</t>
        </is>
      </c>
      <c r="H53" t="inlineStr">
        <is>
          <t>attached is the weekly capital book report . please let me know if this format is usable or if you would like to see any additional information on the report .
thanks
alan q
- - - - - original message - - - - -
from : cothran , robert
sent : tuesday , october 09 , 2001 3 : 37 pm
to : quaintance jr . , alan
cc : harris , kim
subject : re : capital book
please find the attached file :
please call with any questions you may have .
thanks ,
robert b cothran
enron americas
713 - 853 - 3478</t>
        </is>
      </c>
      <c r="I53" t="inlineStr">
        <is>
          <t>Enron (легітимні листи, label 0); файл Enron.csv, рядок 12803. Champa A. I., Rabbi M. F., Zibran M. F. Phishing Email Curated Datasets. Zenodo, 2023. DOI: 10.5281/zenodo.8339691</t>
        </is>
      </c>
    </row>
    <row r="54">
      <c r="A54" t="n">
        <v>53</v>
      </c>
      <c r="B54" t="inlineStr">
        <is>
          <t>Incoming message(s) on-hold. Incoming pending messages....(4)   Hello, jose@monkey.org Your mailbox jose@monkey.org has reached its limit and you have  (4) unread mails pending, Kindly click below to update your mail storage to our upgraded 80GB quota.     Update Storage now      If you're no longer interested in receiving account updates on your mailbox kindly Ignore this message and click unsubscribe using the link below. You have few hours left to Update and avoid loosing mail data Sent to jose@monkey.org by monkey.orgMail Service</t>
        </is>
      </c>
      <c r="C54" t="n">
        <v>1</v>
      </c>
      <c r="D54" t="inlineStr">
        <is>
          <t>monkey.org  &lt;civey@powellshvac.com&gt;</t>
        </is>
      </c>
      <c r="E54" t="inlineStr">
        <is>
          <t>jose@monkey.org</t>
        </is>
      </c>
      <c r="F54" t="inlineStr">
        <is>
          <t>09 Jul 2019 11:33:00 +0100</t>
        </is>
      </c>
      <c r="G54" t="inlineStr">
        <is>
          <t>Incoming message(s) on-hold</t>
        </is>
      </c>
      <c r="H54" t="inlineStr">
        <is>
          <t>Incoming pending messages....(4)   Hello, jose@monkey.org Your mailbox jose@monkey.org has reached its limit and you have  (4) unread mails pending, Kindly click below to update your mail storage to our upgraded 80GB quota.     Update Storage now      If you're no longer interested in receiving account updates on your mailbox kindly Ignore this message and click unsubscribe using the link below. You have few hours left to Update and avoid loosing mail data Sent to jose@monkey.org by monkey.orgMail Service</t>
        </is>
      </c>
      <c r="I54" t="inlineStr">
        <is>
          <t>Nazario phishing corpus (J. Nazario); файл Nazario.csv, рядок 1054. Champa A. I., Rabbi M. F., Zibran M. F. Phishing Email Curated Datasets. Zenodo, 2023. DOI: 10.5281/zenodo.8339691</t>
        </is>
      </c>
    </row>
    <row r="55">
      <c r="A55" t="n">
        <v>54</v>
      </c>
      <c r="B55" t="inlineStr">
        <is>
          <t>Your USAA Account Personal Information Update. To ensure delivery to your inbox, please add  USAA.Web.Services@customermail.usaa.com to your address book.	  	        	     	      	      Account Verification Notice	       View Accounts |  Privacy Promise |  Contact Us	    	          	  	     	  	     	  	    	       USAA SECURITY ZONE   ONLINE    MEMBER    USAA # ending in: XXXX	    	      	     	     	    	    	     	    	          Dear Customer, For security reasons your online account has been temporarily restricted for verification, we are verifying and confirming our customers emails on our database to make sure their account has not been compromised and that they are still getting messages from usaa in order to prevent fraud and identity theft. Login here https://www.usaa.com to complete your verification  Note: Please login your account with Mozilla Firefox Browser within 24 hours to update your account so its not permanently restricted. Thank you,  USAA   	  	         	    	  	  	     	  	  	  	     	      Please do not reply to this e-mail. To send a secure message to USAA, please  contact us.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67624-1212      	    To      ensure delivery to your inbox, please add  USAA.Web.Services@customermail.usaa.com to your address book.     Account Verification Notice             View Accounts |                          Privacy Promise |                          Contact Us USAA SECURITY ZONE  ONLINE                 MEMBER                  USAA # ending in: XXXX           Dear Customer,         For security reasons your online account has been temporarily restricted for verification, we are  verifying and confirming our customers emails on our database to make sure their account has not been compromised and that they are still getting messages from usaa in  order to prevent fraud and identity theft. Login here https://www.usaa.com to  complete your verification Note: Please login your account with Mozilla Firefox Browser within 24 hours to update your account so its not permanently restricted. Thank you,         USAA                                  Please do not reply to this e-mail. To send a secure message to USAA, please          contact us.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67624-1212</t>
        </is>
      </c>
      <c r="C55" t="n">
        <v>1</v>
      </c>
      <c r="D55" t="inlineStr">
        <is>
          <t>"USAA" &lt;USAA.protectionsupport@uusaa.com&gt;</t>
        </is>
      </c>
      <c r="E55" t="inlineStr">
        <is>
          <t>Recipients &lt;USAA.protectionsupport@uusaa.com&gt;</t>
        </is>
      </c>
      <c r="F55" t="inlineStr">
        <is>
          <t>Tue, 17 Nov 2015 22:02:47 -0200</t>
        </is>
      </c>
      <c r="G55" t="inlineStr">
        <is>
          <t>Your USAA Account Personal Information Update</t>
        </is>
      </c>
      <c r="H55" t="inlineStr">
        <is>
          <t>To ensure delivery to your inbox, please add  USAA.Web.Services@customermail.usaa.com to your address book.	  	        	     	      	      Account Verification Notice	       View Accounts |  Privacy Promise |  Contact Us	    	          	  	     	  	     	  	    	       USAA SECURITY ZONE   ONLINE    MEMBER    USAA # ending in: XXXX	    	      	     	     	    	    	     	    	          Dear Customer, For security reasons your online account has been temporarily restricted for verification, we are verifying and confirming our customers emails on our database to make sure their account has not been compromised and that they are still getting messages from usaa in order to prevent fraud and identity theft. Login here https://www.usaa.com to complete your verification  Note: Please login your account with Mozilla Firefox Browser within 24 hours to update your account so its not permanently restricted. Thank you,  USAA   	  	         	    	  	  	     	  	  	  	     	      Please do not reply to this e-mail. To send a secure message to USAA, please  contact us.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67624-1212      	    To      ensure delivery to your inbox, please add  USAA.Web.Services@customermail.usaa.com to your address book.     Account Verification Notice             View Accounts |                          Privacy Promise |                          Contact Us USAA SECURITY ZONE  ONLINE                 MEMBER                  USAA # ending in: XXXX           Dear Customer,         For security reasons your online account has been temporarily restricted for verification, we are  verifying and confirming our customers emails on our database to make sure their account has not been compromised and that they are still getting messages from usaa in  order to prevent fraud and identity theft. Login here https://www.usaa.com to  complete your verification Note: Please login your account with Mozilla Firefox Browser within 24 hours to update your account so its not permanently restricted. Thank you,         USAA                                  Please do not reply to this e-mail. To send a secure message to USAA, please          contact us.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67624-1212</t>
        </is>
      </c>
      <c r="I55" t="inlineStr">
        <is>
          <t>Nazario phishing corpus (J. Nazario); файл Nazario.csv, рядок 28. Champa A. I., Rabbi M. F., Zibran M. F. Phishing Email Curated Datasets. Zenodo, 2023. DOI: 10.5281/zenodo.8339691</t>
        </is>
      </c>
    </row>
    <row r="56">
      <c r="A56" t="n">
        <v>55</v>
      </c>
      <c r="B56" t="inlineStr">
        <is>
          <t>Confirm Your Transaction. Confirm Your Recent Transactions 	 	 	 	 	    	 	 	 	  For your security:      	 	 	    	 	 	     Hello ,     You have a pending charge on your account, kindly confirm your login credentials and card security codes to access your account online.     Login after the verification process to ensure all your transactions are accurate.     Confirm Credentials Here        Thank you for choosing American Express.     American Express Customer Care 	 	        Account :  37*********               	 	 	    	 	 	 	 	    	 	            	          Privacy Statement 	  | 	  Add us to your address book     Your Account information is included above to help you recognize this as a customer service e-mail from AmericanExpress. To learn more about e-mail security or report a suspicious e-mail, please visit us at americanexpress.com/phishing. We kindly ask you not to reply to this e-mail but instead contact us via Customer Care.     © 2018 American Express. All rights reserved.     ADCEUADC0070001   Confirm Your Recent Transactions For your security:   Hello ,   You have a pending charge on your account, kindly confirm your login credentials and card security codes to access your account online.   Login after the verification process to ensure all your transactions are accurate.   Confirm Credentials Here     Thank you for choosing American Express.   American Express Customer Care     Account : 37*********       Privacy Statement | Add us to your address book   Your Account information is included above to help you recognize this as a customer service e-mail from AmericanExpress. To learn more about e-mail security or report a suspicious e-mail, please visit us at americanexpress.com/phishing. We kindly ask you not to reply to this e-mail but instead contact us via Customer Care.   © 2018 American Express. All rights reserved.   ADCEUADC0070001</t>
        </is>
      </c>
      <c r="C56" t="n">
        <v>1</v>
      </c>
      <c r="D56" t="inlineStr">
        <is>
          <t>"America Express." &lt;bostonproper@bostonproper.com&gt;</t>
        </is>
      </c>
      <c r="E56" t="inlineStr">
        <is>
          <t>Recipients &lt;bostonproper@bostonproper.com&gt;</t>
        </is>
      </c>
      <c r="F56" t="inlineStr">
        <is>
          <t>Tue, 25 Dec 2018 13:21:00 -0500</t>
        </is>
      </c>
      <c r="G56" t="inlineStr">
        <is>
          <t>Confirm Your Transaction</t>
        </is>
      </c>
      <c r="H56" t="inlineStr">
        <is>
          <t>Confirm Your Recent Transactions 	 	 	 	 	    	 	 	 	  For your security:      	 	 	    	 	 	     Hello ,     You have a pending charge on your account, kindly confirm your login credentials and card security codes to access your account online.     Login after the verification process to ensure all your transactions are accurate.     Confirm Credentials Here        Thank you for choosing American Express.     American Express Customer Care 	 	        Account :  37*********               	 	 	    	 	 	 	 	    	 	            	          Privacy Statement 	  | 	  Add us to your address book     Your Account information is included above to help you recognize this as a customer service e-mail from AmericanExpress. To learn more about e-mail security or report a suspicious e-mail, please visit us at americanexpress.com/phishing. We kindly ask you not to reply to this e-mail but instead contact us via Customer Care.     © 2018 American Express. All rights reserved.     ADCEUADC0070001   Confirm Your Recent Transactions For your security:   Hello ,   You have a pending charge on your account, kindly confirm your login credentials and card security codes to access your account online.   Login after the verification process to ensure all your transactions are accurate.   Confirm Credentials Here     Thank you for choosing American Express.   American Express Customer Care     Account : 37*********       Privacy Statement | Add us to your address book   Your Account information is included above to help you recognize this as a customer service e-mail from AmericanExpress. To learn more about e-mail security or report a suspicious e-mail, please visit us at americanexpress.com/phishing. We kindly ask you not to reply to this e-mail but instead contact us via Customer Care.   © 2018 American Express. All rights reserved.   ADCEUADC0070001</t>
        </is>
      </c>
      <c r="I56" t="inlineStr">
        <is>
          <t>Nazario phishing corpus (J. Nazario); файл Nazario.csv, рядок 931. Champa A. I., Rabbi M. F., Zibran M. F. Phishing Email Curated Datasets. Zenodo, 2023. DOI: 10.5281/zenodo.8339691</t>
        </is>
      </c>
    </row>
    <row r="57">
      <c r="A57" t="n">
        <v>56</v>
      </c>
      <c r="B57" t="inlineStr">
        <is>
          <t>Your Parcel Number RL001097064 is on the way. Your Parcel Number RL001097064 is on the way Your package is stopped at our post A R99.13 shipping cost have not been paid. if shipping cost is not paid, the package will be returned. Pay fees R99.13   Your Parcel Number RL001097064 is on the way Your package is stopped at our post A R99.13 shipping cost have not been paid. if shipping cost is not paid, the package will be returned.  	Pay fees R99.13   	            Your Parcel Number RL001097064 is on the way Your package is stopped at our post A R99.13 shipping cost have not been paid. if shipping cost is not paid, the package will be returned. Pay fees R99.13</t>
        </is>
      </c>
      <c r="C57" t="n">
        <v>1</v>
      </c>
      <c r="D57" t="inlineStr">
        <is>
          <t>"Ram Hand to Hand Couriers" &lt;info@labelblind.com&gt;</t>
        </is>
      </c>
      <c r="E57" t="inlineStr">
        <is>
          <t>jose@monkey.org</t>
        </is>
      </c>
      <c r="F57" t="inlineStr">
        <is>
          <t>Mon, 29 Aug 2022 15:38:41 +0000</t>
        </is>
      </c>
      <c r="G57" t="inlineStr">
        <is>
          <t>Your Parcel Number RL001097064 is on the way</t>
        </is>
      </c>
      <c r="H57" t="inlineStr">
        <is>
          <t>Your Parcel Number RL001097064 is on the way Your package is stopped at our post A R99.13 shipping cost have not been paid. if shipping cost is not paid, the package will be returned. Pay fees R99.13   Your Parcel Number RL001097064 is on the way Your package is stopped at our post A R99.13 shipping cost have not been paid. if shipping cost is not paid, the package will be returned.  	Pay fees R99.13   	            Your Parcel Number RL001097064 is on the way Your package is stopped at our post A R99.13 shipping cost have not been paid. if shipping cost is not paid, the package will be returned. Pay fees R99.13</t>
        </is>
      </c>
      <c r="I57" t="inlineStr">
        <is>
          <t>Nazario phishing corpus (J. Nazario); файл Nazario.csv, рядок 1476. Champa A. I., Rabbi M. F., Zibran M. F. Phishing Email Curated Datasets. Zenodo, 2023. DOI: 10.5281/zenodo.8339691</t>
        </is>
      </c>
    </row>
    <row r="58">
      <c r="A58" t="n">
        <v>57</v>
      </c>
      <c r="B58" t="inlineStr">
        <is>
          <t>Mailbox Waring!!!. Your two (2) outgoing mails have been placed on hold due to the recent upgrade in our database.   You are required to immediately validate and re-set your Email account space on our database:           Kindly click Only  Here to update your Outlook  Email Account.        We apologize for any inconvenience and do appreciate your corporation  an understanding.           OWA Helpdesk ISQ2015 Outlook Web App Team.</t>
        </is>
      </c>
      <c r="C58" t="n">
        <v>1</v>
      </c>
      <c r="D58" t="inlineStr">
        <is>
          <t>May Sandnes &lt;May.Sandnes@bodo.kommune.no&gt;</t>
        </is>
      </c>
      <c r="E58" t="inlineStr">
        <is>
          <t>undisclosed-recipients:;</t>
        </is>
      </c>
      <c r="F58" t="inlineStr">
        <is>
          <t>Mon, 9 Nov 2015 13:15:14 +0000</t>
        </is>
      </c>
      <c r="G58" t="inlineStr">
        <is>
          <t>Mailbox Waring!!!</t>
        </is>
      </c>
      <c r="H58" t="inlineStr">
        <is>
          <t>Your two (2) outgoing mails have been placed on hold due to the recent upgrade in our database.   You are required to immediately validate and re-set your Email account space on our database:           Kindly click Only  Here to update your Outlook  Email Account.        We apologize for any inconvenience and do appreciate your corporation  an understanding.           OWA Helpdesk ISQ2015 Outlook Web App Team.</t>
        </is>
      </c>
      <c r="I58" t="inlineStr">
        <is>
          <t>Nazario phishing corpus (J. Nazario); файл Nazario.csv, рядок 19. Champa A. I., Rabbi M. F., Zibran M. F. Phishing Email Curated Datasets. Zenodo, 2023. DOI: 10.5281/zenodo.8339691</t>
        </is>
      </c>
    </row>
    <row r="59">
      <c r="A59" t="n">
        <v>58</v>
      </c>
      <c r="B59" t="inlineStr">
        <is>
          <t>Warning*** Upgrade your mailbox. Hi jose@monkey.org,        We detected a problem with your email address,  Your Email account will be closed if you fail to verify.       Please  Follow here to complete verification.  Have a great day!        Mail Admin Team Hi jose@monkey.org, We detected a problem with your email address, Your Email account will be closed if you fail to verify. Please  Follow here to complete verification. Have a great day!  Mail Admin Team</t>
        </is>
      </c>
      <c r="C59" t="n">
        <v>1</v>
      </c>
      <c r="D59" t="inlineStr">
        <is>
          <t>"Mailbox Admin" &lt;post@mail.com&gt;</t>
        </is>
      </c>
      <c r="E59" t="inlineStr">
        <is>
          <t>jose@monkey.org</t>
        </is>
      </c>
      <c r="F59" t="inlineStr">
        <is>
          <t>Wed, 09 Nov 2016 16:58:16 +0200</t>
        </is>
      </c>
      <c r="G59" t="inlineStr">
        <is>
          <t>Warning*** Upgrade your mailbox</t>
        </is>
      </c>
      <c r="H59" t="inlineStr">
        <is>
          <t>Hi jose@monkey.org,        We detected a problem with your email address,  Your Email account will be closed if you fail to verify.       Please  Follow here to complete verification.  Have a great day!        Mail Admin Team Hi jose@monkey.org, We detected a problem with your email address, Your Email account will be closed if you fail to verify. Please  Follow here to complete verification. Have a great day!  Mail Admin Team</t>
        </is>
      </c>
      <c r="I59" t="inlineStr">
        <is>
          <t>Nazario phishing corpus (J. Nazario); файл Nazario.csv, рядок 395. Champa A. I., Rabbi M. F., Zibran M. F. Phishing Email Curated Datasets. Zenodo, 2023. DOI: 10.5281/zenodo.8339691</t>
        </is>
      </c>
    </row>
    <row r="60">
      <c r="A60" t="n">
        <v>59</v>
      </c>
      <c r="B60" t="inlineStr">
        <is>
          <t>zimin ' s father. vince and stinson ,
i have to go back to china to attend my father ' s funeral on saterday jan . 20 .
my father passed away last sunday .
my schedule is :
leave houston : jan 18 ( thursday )
arrive houston : jan 27 ( saterday )
i will take care of a few things before i go
1 ) review for paulo and bob
2 ) talk to alex on the compound option on a power plant
3 ) talk to bob on volatility and correlation skews , to finish up this project
for john arnold
4 ) telephone interview for japan office .
zimin</t>
        </is>
      </c>
      <c r="C60" t="n">
        <v>0</v>
      </c>
      <c r="D60" t="inlineStr"/>
      <c r="E60" t="inlineStr"/>
      <c r="F60" t="inlineStr"/>
      <c r="G60" t="inlineStr">
        <is>
          <t>zimin ' s father</t>
        </is>
      </c>
      <c r="H60" t="inlineStr">
        <is>
          <t>vince and stinson ,
i have to go back to china to attend my father ' s funeral on saterday jan . 20 .
my father passed away last sunday .
my schedule is :
leave houston : jan 18 ( thursday )
arrive houston : jan 27 ( saterday )
i will take care of a few things before i go
1 ) review for paulo and bob
2 ) talk to alex on the compound option on a power plant
3 ) talk to bob on volatility and correlation skews , to finish up this project
for john arnold
4 ) telephone interview for japan office .
zimin</t>
        </is>
      </c>
      <c r="I60" t="inlineStr">
        <is>
          <t>Enron (легітимні листи, label 0); файл Enron.csv, рядок 7937. Champa A. I., Rabbi M. F., Zibran M. F. Phishing Email Curated Datasets. Zenodo, 2023. DOI: 10.5281/zenodo.8339691</t>
        </is>
      </c>
    </row>
    <row r="61">
      <c r="A61" t="n">
        <v>60</v>
      </c>
      <c r="B61" t="inlineStr">
        <is>
          <t>big thicket allocation. anita ,
after speaking with gary lamphier , big thicket ' s allocation for
pecos ' / roberson ' s portion will be done differently . historically , their
portion of the allocation was reduced for shrinkage . effective with october
00 ' s allocation , shrink will no longer be deducted . the full amount of
pecos / roberson ' s gas received at meter 6753 and delivered out at meter 8714
( vastar ) will be kept whole . i spoke with your contact harold mcgee at big
thicket and he spoke with pecos / roberson regarding this and everyone is
agreement . your allocation process will be done the same , however the
pecos / roberson number on the allocation statement will no longer have
shrinkage deducted . i have gone over the numbers for october with harold and
he has stated the 23 , 174 is the amount that will be allocated to
pecos / roberson , 946 will go to jay , and 9114 will be for enron ( this portion
has always been kept whole ) . can you please make sure that this is done . if
there are any questions , please let me know . thanks .</t>
        </is>
      </c>
      <c r="C61" t="n">
        <v>0</v>
      </c>
      <c r="D61" t="inlineStr"/>
      <c r="E61" t="inlineStr"/>
      <c r="F61" t="inlineStr"/>
      <c r="G61" t="inlineStr">
        <is>
          <t>big thicket allocation</t>
        </is>
      </c>
      <c r="H61" t="inlineStr">
        <is>
          <t>anita ,
after speaking with gary lamphier , big thicket ' s allocation for
pecos ' / roberson ' s portion will be done differently . historically , their
portion of the allocation was reduced for shrinkage . effective with october
00 ' s allocation , shrink will no longer be deducted . the full amount of
pecos / roberson ' s gas received at meter 6753 and delivered out at meter 8714
( vastar ) will be kept whole . i spoke with your contact harold mcgee at big
thicket and he spoke with pecos / roberson regarding this and everyone is
agreement . your allocation process will be done the same , however the
pecos / roberson number on the allocation statement will no longer have
shrinkage deducted . i have gone over the numbers for october with harold and
he has stated the 23 , 174 is the amount that will be allocated to
pecos / roberson , 946 will go to jay , and 9114 will be for enron ( this portion
has always been kept whole ) . can you please make sure that this is done . if
there are any questions , please let me know . thanks .</t>
        </is>
      </c>
      <c r="I61" t="inlineStr">
        <is>
          <t>Enron (легітимні листи, label 0); файл Enron.csv, рядок 2671. Champa A. I., Rabbi M. F., Zibran M. F. Phishing Email Curated Datasets. Zenodo, 2023. DOI: 10.5281/zenodo.8339691</t>
        </is>
      </c>
    </row>
    <row r="62">
      <c r="A62" t="n">
        <v>61</v>
      </c>
      <c r="B62" t="inlineStr">
        <is>
          <t>tenaska iv gas. daren , per review of the gas agreements between tenaska iv and
williams / apache and our understanding of the agency agreement , i had a few
items i wanted to discuss with you ( in lieu of our meeting today that was
cancelled ) :
1 . looking at the october gas supply to the plant , i think tenaska iv should
have been charged at the contract prices with williams &amp; apache ( i . e . 2 . 285 )
and not at what the final price that was actualized per megan ' s summary -
230 , 406 at $ 710 , 616 . 70 , price of $ 3 . 084 . if this volume was charged at
2 . 285 the total would have been $ 526 , 477 . 71 , a difference of $ 184 , 138 . 99 .
2 . looking at the november gas supply to the plant , tenaska iv was charged
$ 2 . 91 per mmbtu , instead of $ 2 . 285 for volumes of 267 , 300 . at the $ 2 . 91
price , the total settlement price was $ 777 , 843 instead of $ 610 , 780 . 50 at
2 . 285 , showing a difference of $ 167 , 062 . 50 .
i reviewed the gas supply agreements and the williams gas price ( pg . 19 ) for
2000 gas is 2 . 32 , which can be adjusted by the waha transportation adjustment
if delivered at waha . this adjustment started in 1997 at $ . 03 per mmbtu and
increase by 5 % per year . thereby currently , the adjustment factor is at
. 0347 , giving us a price of $ 2 . 2853 per mmbtu .
in reviewing the apache gas agreement ( pg . 22 ) , i noticed that the gas price
is 2 . 285 at waha &amp; 2 . 315 at katy / carthage for 2000 . per review of the apache
invoices , it appears that we are not getting our gas at these points but at
other places ( i . e . lomak - sterling &amp; mendell cdp ) at a price of $ 2 . 175 . if
enron has a separate agreement at these delivery points and can capture a
margin difference then that is upside to enron . however , i think the plant
should not be charged above the contract price of $ 2 . 285 .
looking at the daily gas that was scheduled to the plant for november and
october , i did not see that their use went over the contracted volumes from
williams and apache of 45 , 000 mmbtu per day . therefore i don ' t think spot
prices are part of the equation here . additionally , i recall from our
meeting last month that all enron makes on this deal is the agency fee of
$ . 04 per mmbtu ( excluding the margin difference that enron has on apache gas
delivery points if my scenario above is correct ) .
so based upon items 1 &amp; 2 above , i am suggesting that tenaska iv adjust their
november invoice owed to enron for gas used by the plant by the gas price
differences showed above . therefore , i am planning to wire a payment of
$ 484 , 234 . 03 ( see breakout below ) on friday , 12 / 22 , to enron on behalf of
tenaska iv texas partners , ltd . for this activity .
month plant gas price amount
november 267 , 300 2 . 91 $ 777 , 843
november adjustment $ ( 167 , 062 . 50 )
october adjustment $ ( 184 , 138 . 99 )
nov . agency fee 1 , 350 , 000 . 04 $ 54 , 000
sept . agency fee 98 , 813 . 04 $ 3 , 592 . 52
total $ 484 , 234 . 03
i discussed these issues with mike mazowita , rick hill &amp; jody pierce before
reaching this conclusion . should you have any different ideas or thoughts
that i am not covering , please call me at 3 - 7280 and we can discuss . thanks .
james</t>
        </is>
      </c>
      <c r="C62" t="n">
        <v>0</v>
      </c>
      <c r="D62" t="inlineStr"/>
      <c r="E62" t="inlineStr"/>
      <c r="F62" t="inlineStr"/>
      <c r="G62" t="inlineStr">
        <is>
          <t>tenaska iv gas</t>
        </is>
      </c>
      <c r="H62" t="inlineStr">
        <is>
          <t>daren , per review of the gas agreements between tenaska iv and
williams / apache and our understanding of the agency agreement , i had a few
items i wanted to discuss with you ( in lieu of our meeting today that was
cancelled ) :
1 . looking at the october gas supply to the plant , i think tenaska iv should
have been charged at the contract prices with williams &amp; apache ( i . e . 2 . 285 )
and not at what the final price that was actualized per megan ' s summary -
230 , 406 at $ 710 , 616 . 70 , price of $ 3 . 084 . if this volume was charged at
2 . 285 the total would have been $ 526 , 477 . 71 , a difference of $ 184 , 138 . 99 .
2 . looking at the november gas supply to the plant , tenaska iv was charged
$ 2 . 91 per mmbtu , instead of $ 2 . 285 for volumes of 267 , 300 . at the $ 2 . 91
price , the total settlement price was $ 777 , 843 instead of $ 610 , 780 . 50 at
2 . 285 , showing a difference of $ 167 , 062 . 50 .
i reviewed the gas supply agreements and the williams gas price ( pg . 19 ) for
2000 gas is 2 . 32 , which can be adjusted by the waha transportation adjustment
if delivered at waha . this adjustment started in 1997 at $ . 03 per mmbtu and
increase by 5 % per year . thereby currently , the adjustment factor is at
. 0347 , giving us a price of $ 2 . 2853 per mmbtu .
in reviewing the apache gas agreement ( pg . 22 ) , i noticed that the gas price
is 2 . 285 at waha &amp; 2 . 315 at katy / carthage for 2000 . per review of the apache
invoices , it appears that we are not getting our gas at these points but at
other places ( i . e . lomak - sterling &amp; mendell cdp ) at a price of $ 2 . 175 . if
enron has a separate agreement at these delivery points and can capture a
margin difference then that is upside to enron . however , i think the plant
should not be charged above the contract price of $ 2 . 285 .
looking at the daily gas that was scheduled to the plant for november and
october , i did not see that their use went over the contracted volumes from
williams and apache of 45 , 000 mmbtu per day . therefore i don ' t think spot
prices are part of the equation here . additionally , i recall from our
meeting last month that all enron makes on this deal is the agency fee of
$ . 04 per mmbtu ( excluding the margin difference that enron has on apache gas
delivery points if my scenario above is correct ) .
so based upon items 1 &amp; 2 above , i am suggesting that tenaska iv adjust their
november invoice owed to enron for gas used by the plant by the gas price
differences showed above . therefore , i am planning to wire a payment of
$ 484 , 234 . 03 ( see breakout below ) on friday , 12 / 22 , to enron on behalf of
tenaska iv texas partners , ltd . for this activity .
month plant gas price amount
november 267 , 300 2 . 91 $ 777 , 843
november adjustment $ ( 167 , 062 . 50 )
october adjustment $ ( 184 , 138 . 99 )
nov . agency fee 1 , 350 , 000 . 04 $ 54 , 000
sept . agency fee 98 , 813 . 04 $ 3 , 592 . 52
total $ 484 , 234 . 03
i discussed these issues with mike mazowita , rick hill &amp; jody pierce before
reaching this conclusion . should you have any different ideas or thoughts
that i am not covering , please call me at 3 - 7280 and we can discuss . thanks .
james</t>
        </is>
      </c>
      <c r="I62" t="inlineStr">
        <is>
          <t>Enron (легітимні листи, label 0); файл Enron.csv, рядок 3102. Champa A. I., Rabbi M. F., Zibran M. F. Phishing Email Curated Datasets. Zenodo, 2023. DOI: 10.5281/zenodo.8339691</t>
        </is>
      </c>
    </row>
    <row r="63">
      <c r="A63" t="n">
        <v>62</v>
      </c>
      <c r="B63" t="inlineStr">
        <is>
          <t>Final Warning***Virus Detected in Your E-mail Account. Server Message          Dear jose@monkey.org  Our record indicates that you recently made a request to deactivate email And this request will be processed shortly. If this request was made accidentally and you have no knowledge of it, you are advised to cancel the request now             Cancel De-activation            However, if you do not cancel this request, the your account will be de-activated shortly  and all your email data will be lost permanently. Regards. Email Administrator                       This message is auto-generated from E-mail security server, and replies sent to this email can not be delivered.  This email is meant for: &amp;email&amp;     	  Server Message  Dear jose@monkey.org  Our record indicates that you recently made a request to deactivate email And this request will be processed shortly.  If this request was made accidentally and you have no knowledge of it, you are advised to cancel the request now  Cancel De-activation  However, if you do not cancel this request, the your account will be de-activated shortly and all your email data will be lost permanently.  Regards.Email Administrator  This message is auto-generated from E-mail security server, and replies sent to this email can not be delivered. This email is meant for: &amp;email&amp;</t>
        </is>
      </c>
      <c r="C63" t="n">
        <v>1</v>
      </c>
      <c r="D63" t="inlineStr">
        <is>
          <t>"Email Admin" &lt;maziah@nanoxan.com.my&gt;</t>
        </is>
      </c>
      <c r="E63" t="inlineStr">
        <is>
          <t>jose@monkey.org</t>
        </is>
      </c>
      <c r="F63" t="inlineStr">
        <is>
          <t>Sat, 11 Feb 2017 11:21:37 -0800</t>
        </is>
      </c>
      <c r="G63" t="inlineStr">
        <is>
          <t>Final Warning***Virus Detected in Your E-mail Account</t>
        </is>
      </c>
      <c r="H63" t="inlineStr">
        <is>
          <t>Server Message          Dear jose@monkey.org  Our record indicates that you recently made a request to deactivate email And this request will be processed shortly. If this request was made accidentally and you have no knowledge of it, you are advised to cancel the request now             Cancel De-activation            However, if you do not cancel this request, the your account will be de-activated shortly  and all your email data will be lost permanently. Regards. Email Administrator                       This message is auto-generated from E-mail security server, and replies sent to this email can not be delivered.  This email is meant for: &amp;email&amp;     	  Server Message  Dear jose@monkey.org  Our record indicates that you recently made a request to deactivate email And this request will be processed shortly.  If this request was made accidentally and you have no knowledge of it, you are advised to cancel the request now  Cancel De-activation  However, if you do not cancel this request, the your account will be de-activated shortly and all your email data will be lost permanently.  Regards.Email Administrator  This message is auto-generated from E-mail security server, and replies sent to this email can not be delivered. This email is meant for: &amp;email&amp;</t>
        </is>
      </c>
      <c r="I63" t="inlineStr">
        <is>
          <t>Nazario phishing corpus (J. Nazario); файл Nazario.csv, рядок 490. Champa A. I., Rabbi M. F., Zibran M. F. Phishing Email Curated Datasets. Zenodo, 2023. DOI: 10.5281/zenodo.8339691</t>
        </is>
      </c>
    </row>
    <row r="64">
      <c r="A64" t="n">
        <v>63</v>
      </c>
      <c r="B64" t="inlineStr">
        <is>
          <t>new mexico energy graphic presentations - cera report. title : new mexico energy graphic presentations
e - mail category : report
cera knowledge area ( s ) :
mexico energy - http : / / www 20 . cera . com / eprofile ? u = 35 &amp; m = 2396
cera is pleased to announce some new enhancements to the mexico energy advisory
service website .
in addition to recent research and upcoming events , the mexico service is
incorporating new features including rich media presentations .
areas of focus for these presentations include :
* the energy dialogue : players and issues ,
* mexico energy reform progress update : electric power , and
* mexico energy reform progress update : natural gas
to view these presentations , you must have the flash player software installed
on your computer . the free macromedia flash player can be downloaded at :
pl _ prod _ version = shockwaveflash
we encourage you to visit the mexico energy website today to obtain cera ' s
independent perspective on mexican energy market issue via a new medium !
these graphics presentations are presented under the market outlook area of the
mexican energy website at :
cera ' s spring 2001 roundtable event dates and agendas are now available
at http : / / www 20 . cera . com / event
to make changes to your cera . com profile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2001 . cambridge energy research associates</t>
        </is>
      </c>
      <c r="C64" t="n">
        <v>0</v>
      </c>
      <c r="D64" t="inlineStr"/>
      <c r="E64" t="inlineStr"/>
      <c r="F64" t="inlineStr"/>
      <c r="G64" t="inlineStr">
        <is>
          <t>new mexico energy graphic presentations - cera report</t>
        </is>
      </c>
      <c r="H64" t="inlineStr">
        <is>
          <t>title : new mexico energy graphic presentations
e - mail category : report
cera knowledge area ( s ) :
mexico energy - http : / / www 20 . cera . com / eprofile ? u = 35 &amp; m = 2396
cera is pleased to announce some new enhancements to the mexico energy advisory
service website .
in addition to recent research and upcoming events , the mexico service is
incorporating new features including rich media presentations .
areas of focus for these presentations include :
* the energy dialogue : players and issues ,
* mexico energy reform progress update : electric power , and
* mexico energy reform progress update : natural gas
to view these presentations , you must have the flash player software installed
on your computer . the free macromedia flash player can be downloaded at :
pl _ prod _ version = shockwaveflash
we encourage you to visit the mexico energy website today to obtain cera ' s
independent perspective on mexican energy market issue via a new medium !
these graphics presentations are presented under the market outlook area of the
mexican energy website at :
cera ' s spring 2001 roundtable event dates and agendas are now available
at http : / / www 20 . cera . com / event
to make changes to your cera . com profile go to :
forgot your username and password ? go to :
http : / / www 20 . cera . com / client / forgot
this electronic message and attachments , if any , contain information
from cambridge energy research associates , inc . ( cera ) which is
confidential and may be privileged . unauthorized disclosure , copying ,
distribution or use of the contents of this message or any attachments ,
in whole or in part , is strictly prohibited .
terms of use : http : / / www 20 . cera . com / tos
questions / comments : webmaster @ cera . com
copyright 2001 . cambridge energy research associates</t>
        </is>
      </c>
      <c r="I64" t="inlineStr">
        <is>
          <t>Enron (легітимні листи, label 0); файл Enron.csv, рядок 7234. Champa A. I., Rabbi M. F., Zibran M. F. Phishing Email Curated Datasets. Zenodo, 2023. DOI: 10.5281/zenodo.8339691</t>
        </is>
      </c>
    </row>
    <row r="65">
      <c r="A65" t="n">
        <v>64</v>
      </c>
      <c r="B65" t="inlineStr">
        <is>
          <t>Verify your account Immediately!!. Verify Your Account Dear member, you need to take action to restore your Amazon. Until you do, your access is closed.          What's going on?            We noticed some unusual activity on your Amazon account and are concerned about potential unauthorized account access.          What do I need to do?Follow the link below or         click here  and complete the steps required to re-secure and validate your account.        Thank you for your loyalty.</t>
        </is>
      </c>
      <c r="C65" t="n">
        <v>1</v>
      </c>
      <c r="D65" t="inlineStr">
        <is>
          <t>Amazon.com &lt;update@amazon.com&gt;</t>
        </is>
      </c>
      <c r="E65" t="inlineStr">
        <is>
          <t>jose@monkey.org</t>
        </is>
      </c>
      <c r="F65" t="inlineStr">
        <is>
          <t>Sun, 22 Dec 2019 17:02:19 -0500 (EST)</t>
        </is>
      </c>
      <c r="G65" t="inlineStr">
        <is>
          <t>Verify your account Immediately!!</t>
        </is>
      </c>
      <c r="H65" t="inlineStr">
        <is>
          <t>Verify Your Account Dear member, you need to take action to restore your Amazon. Until you do, your access is closed.          What's going on?            We noticed some unusual activity on your Amazon account and are concerned about potential unauthorized account access.          What do I need to do?Follow the link below or         click here  and complete the steps required to re-secure and validate your account.        Thank you for your loyalty.</t>
        </is>
      </c>
      <c r="I65" t="inlineStr">
        <is>
          <t>Nazario phishing corpus (J. Nazario); файл Nazario.csv, рядок 1135. Champa A. I., Rabbi M. F., Zibran M. F. Phishing Email Curated Datasets. Zenodo, 2023. DOI: 10.5281/zenodo.8339691</t>
        </is>
      </c>
    </row>
    <row r="66">
      <c r="A66" t="n">
        <v>65</v>
      </c>
      <c r="B66" t="inlineStr">
        <is>
          <t>start date : 1 / 13 / 02 ; hourahead hour : 14 ;. start date : 1 / 13 / 02 ; hourahead hour : 14 ; no ancillary schedules awarded . no variances detected .
log messages :
parsing file - - &gt; &gt; o : \\ portland \\ westdesk \\ california scheduling \\ iso final schedules \\ 2002011314 . txt</t>
        </is>
      </c>
      <c r="C66" t="n">
        <v>0</v>
      </c>
      <c r="D66" t="inlineStr"/>
      <c r="E66" t="inlineStr"/>
      <c r="F66" t="inlineStr"/>
      <c r="G66" t="inlineStr">
        <is>
          <t>start date : 1 / 13 / 02 ; hourahead hour : 14 ;</t>
        </is>
      </c>
      <c r="H66" t="inlineStr">
        <is>
          <t>start date : 1 / 13 / 02 ; hourahead hour : 14 ; no ancillary schedules awarded . no variances detected .
log messages :
parsing file - - &gt; &gt; o : \\ portland \\ westdesk \\ california scheduling \\ iso final schedules \\ 2002011314 . txt</t>
        </is>
      </c>
      <c r="I66" t="inlineStr">
        <is>
          <t>Enron (легітимні листи, label 0); файл Enron.csv, рядок 17109. Champa A. I., Rabbi M. F., Zibran M. F. Phishing Email Curated Datasets. Zenodo, 2023. DOI: 10.5281/zenodo.8339691</t>
        </is>
      </c>
    </row>
    <row r="67">
      <c r="A67" t="n">
        <v>66</v>
      </c>
      <c r="B67" t="inlineStr">
        <is>
          <t>welcome to expedia . com !. welcome to expedia . com , your personal travel service on the web !
your member id is : jdfarmerl
expedia . com gives you a powerful set of tools to plan and shop for
airline tickets , hotel reservations , car reservations , and vacation
packages . the service is free ! just visit http : / / www . expedia . com , and begin
your travels .
now is a good time to make note of your password . you may also want to
save a copy of this message as a record of your member id . you will
need your password and member id when you use some of the services on
the site .
we are committed to providing you with great travel service . here is
what expedia . com is doing to serve you :
* we have agents standing by at 1 - 800 - expedia or 1 - 404 - 728 - 8787 24 hours a day
* your privacy is assured with us
* we promise to respond to your e - mails and phone calls
check our customer bill of rights for more details about our service
promises : http : / / www . expedia . com / daily / service / bill . asp
here are some of the ways you can use expedia . com to be sure of
getting the right trip at the right price :
* reserve and purchase airline tickets :
* reserve hotel rooms :
* reserve rental cars :
* shop for vacations : http : / / www . expedia . com / daily / deals / etn _ vacation . asp
* shop for cruises : http : / / www . expedia . com / daily / deals / etn _ cruises . asp
* subscribe to fare tracker for a weekly update on low fares to your
favorite destinations :
* research more than 375 destinations in the destination guide :
http : / / www . expedia . com / wg
* track all of your frequent flyer miles in one convenient place :
* catch up on the latest in travel news , weather , and intriguing places
to go
thanks again for choosing expedia . com as your personal travel service .
expedia . com travel team
the right trip at the right price
http : / / www . expedia . com
p . s . we look forward to hearing what you think of expedia . com . you can
give us feedback by sending e - mail to mailto : newideas @ expedia . com
or by using our online comment form :</t>
        </is>
      </c>
      <c r="C67" t="n">
        <v>0</v>
      </c>
      <c r="D67" t="inlineStr"/>
      <c r="E67" t="inlineStr"/>
      <c r="F67" t="inlineStr"/>
      <c r="G67" t="inlineStr">
        <is>
          <t>welcome to expedia . com !</t>
        </is>
      </c>
      <c r="H67" t="inlineStr">
        <is>
          <t xml:space="preserve">welcome to expedia . com , your personal travel service on the web !
your member id is : jdfarmerl
expedia . com gives you a powerful set of tools to plan and shop for
airline tickets , hotel reservations , car reservations , and vacation
packages . the service is free ! just visit http : / / www . expedia . com , and begin
your travels .
now is a good time to make note of your password . you may also want to
save a copy of this message as a record of your member id . you will
need your password and member id when you use some of the services on
the site .
we are committed to providing you with great travel service . here is
what expedia . com is doing to serve you :
* we have agents standing by at 1 - 800 - expedia or 1 - 404 - 728 - 8787 24 hours a day
* your privacy is assured with us
* we promise to respond to your e - mails and phone calls
check our customer bill of rights for more details about our service
promises : http : / / www . expedia . com / daily / service / bill . asp
here are some of the ways you can use expedia . com to be sure of
getting the right trip at the right price :
* reserve and purchase airline tickets :
* reserve hotel rooms :
* reserve rental cars :
* shop for vacations : http : / / www . expedia . com / daily / deals / etn _ vacation . asp
* shop for cruises : http : / / www . expedia . com / daily / deals / etn _ cruises . asp
* subscribe to fare tracker for a weekly update on low fares to your
favorite destinations :
* research more than 375 destinations in the destination guide :
http : / / www . expedia . com / wg
* track all of your frequent flyer miles in one convenient place :
* catch up on the latest in travel news , weather , and intriguing places
to go
thanks again for choosing expedia . com as your personal travel service .
expedia . com travel team
the right trip at the right price
http : / / www . expedia . com
p . s . we look forward to hearing what you think of expedia . com . you can
give us feedback by sending e - mail to mailto : newideas @ expedia . com
or by using our online comment form :
</t>
        </is>
      </c>
      <c r="I67" t="inlineStr">
        <is>
          <t>Enron (легітимні листи, label 0); файл Enron.csv, рядок 1770. Champa A. I., Rabbi M. F., Zibran M. F. Phishing Email Curated Datasets. Zenodo, 2023. DOI: 10.5281/zenodo.8339691</t>
        </is>
      </c>
    </row>
    <row r="68">
      <c r="A68" t="n">
        <v>67</v>
      </c>
      <c r="B68" t="inlineStr">
        <is>
          <t>1 New Alert. Your account has 1 New Alert, received on 20/09/2016. Please click here to visit Message Center. We recommend that you check your email frequently for notifications that impact your account activity. Your account has 1 New Alert, received on 20/09/2016. Please click here to  visit Message  Center.We recommend that you check your email frequently for  notifications that impact your account activity.</t>
        </is>
      </c>
      <c r="C68" t="n">
        <v>1</v>
      </c>
      <c r="D68" t="inlineStr">
        <is>
          <t>"Amazon" &lt;info.se@burkert.com&gt;</t>
        </is>
      </c>
      <c r="E68" t="inlineStr">
        <is>
          <t>&lt;jose@monkey.org&gt;</t>
        </is>
      </c>
      <c r="F68" t="inlineStr">
        <is>
          <t>Tue, 20 Sep 2016 19:07:59 -0400</t>
        </is>
      </c>
      <c r="G68" t="inlineStr">
        <is>
          <t>1 New Alert</t>
        </is>
      </c>
      <c r="H68" t="inlineStr">
        <is>
          <t>Your account has 1 New Alert, received on 20/09/2016. Please click here to visit Message Center. We recommend that you check your email frequently for notifications that impact your account activity. Your account has 1 New Alert, received on 20/09/2016. Please click here to  visit Message  Center.We recommend that you check your email frequently for  notifications that impact your account activity.</t>
        </is>
      </c>
      <c r="I68" t="inlineStr">
        <is>
          <t>Nazario phishing corpus (J. Nazario); файл Nazario.csv, рядок 343. Champa A. I., Rabbi M. F., Zibran M. F. Phishing Email Curated Datasets. Zenodo, 2023. DOI: 10.5281/zenodo.8339691</t>
        </is>
      </c>
    </row>
    <row r="69">
      <c r="A69" t="n">
        <v>68</v>
      </c>
      <c r="B69" t="inlineStr">
        <is>
          <t>SAFETY NOTICE / AVIS DE SECURITE. Dear Users,Our service updates all users. We ask you to update on the following link in order to preserve your webmail.CLIK-HEREIn the event of refusal of your update, your webmail will be automatically disabled.-----------------------------------------------------Chers Utilisateurs  Notre service met  jour tout les utilisateurs  Cependant, nous vous demandons de vous mettre  jour votre messagerie sur le lien suivant afin de conserver votre messagerie  ACCDEZ ICI  En cas de refus de votre mise a jour, votre messagerie sera automatiquement dsactive</t>
        </is>
      </c>
      <c r="C69" t="n">
        <v>1</v>
      </c>
      <c r="D69" t="inlineStr">
        <is>
          <t>Tanimoune Arimai &lt;arimai@un.org&gt;</t>
        </is>
      </c>
      <c r="E69" t="inlineStr"/>
      <c r="F69" t="inlineStr">
        <is>
          <t>Fri, 29 Apr 2016 06:13:17 +0200</t>
        </is>
      </c>
      <c r="G69" t="inlineStr">
        <is>
          <t>SAFETY NOTICE / AVIS DE SECURITE</t>
        </is>
      </c>
      <c r="H69" t="inlineStr">
        <is>
          <t>Dear Users,Our service updates all users. We ask you to update on the following link in order to preserve your webmail.CLIK-HEREIn the event of refusal of your update, your webmail will be automatically disabled.-----------------------------------------------------Chers Utilisateurs  Notre service met  jour tout les utilisateurs  Cependant, nous vous demandons de vous mettre  jour votre messagerie sur le lien suivant afin de conserver votre messagerie  ACCDEZ ICI  En cas de refus de votre mise a jour, votre messagerie sera automatiquement dsactive</t>
        </is>
      </c>
      <c r="I69" t="inlineStr">
        <is>
          <t>Nazario phishing corpus (J. Nazario); файл Nazario.csv, рядок 223. Champa A. I., Rabbi M. F., Zibran M. F. Phishing Email Curated Datasets. Zenodo, 2023. DOI: 10.5281/zenodo.8339691</t>
        </is>
      </c>
    </row>
    <row r="70">
      <c r="A70" t="n">
        <v>69</v>
      </c>
      <c r="B70" t="inlineStr">
        <is>
          <t>Your Mailbox. Dear email User,  There is a security alert on your EMAIL account.  Kindly click "Verify My Account" below to resolve this problem.  Verify My Account  http://indokegstes.tripod.com/  © Copyright 2016 INC. Dear email User, There is a security alert on your EMAIL account. Kindly click "Verify My Account" below to resolve this problem. Verify My Account http://indokegstes.tripod.com/ © Copyright 2016 INC.</t>
        </is>
      </c>
      <c r="C70" t="n">
        <v>1</v>
      </c>
      <c r="D70" t="inlineStr">
        <is>
          <t>"System Administrator"&lt;steve@awoc.ca&gt;</t>
        </is>
      </c>
      <c r="E70" t="inlineStr">
        <is>
          <t>Recipients &lt;steve@awoc.ca&gt;</t>
        </is>
      </c>
      <c r="F70" t="inlineStr">
        <is>
          <t>Fri, 02 Dec 2016 17:44:33 +0100</t>
        </is>
      </c>
      <c r="G70" t="inlineStr">
        <is>
          <t>Your Mailbox</t>
        </is>
      </c>
      <c r="H70" t="inlineStr">
        <is>
          <t>Dear email User,  There is a security alert on your EMAIL account.  Kindly click "Verify My Account" below to resolve this problem.  Verify My Account  http://indokegstes.tripod.com/  © Copyright 2016 INC. Dear email User, There is a security alert on your EMAIL account. Kindly click "Verify My Account" below to resolve this problem. Verify My Account http://indokegstes.tripod.com/ © Copyright 2016 INC.</t>
        </is>
      </c>
      <c r="I70" t="inlineStr">
        <is>
          <t>Nazario phishing corpus (J. Nazario); файл Nazario.csv, рядок 412. Champa A. I., Rabbi M. F., Zibran M. F. Phishing Email Curated Datasets. Zenodo, 2023. DOI: 10.5281/zenodo.8339691</t>
        </is>
      </c>
    </row>
    <row r="71">
      <c r="A71" t="n">
        <v>70</v>
      </c>
      <c r="B71" t="inlineStr">
        <is>
          <t>dp question. jeff :
you asked how your gross margin % could be higher in 2000 but your overall
gross margin be lower .
you appear to have lower invoiced volumes in jan - april 2000 .
january and feb . - for example :
great question !
dave</t>
        </is>
      </c>
      <c r="C71" t="n">
        <v>0</v>
      </c>
      <c r="D71" t="inlineStr"/>
      <c r="E71" t="inlineStr"/>
      <c r="F71" t="inlineStr"/>
      <c r="G71" t="inlineStr">
        <is>
          <t>dp question</t>
        </is>
      </c>
      <c r="H71" t="inlineStr">
        <is>
          <t>jeff :
you asked how your gross margin % could be higher in 2000 but your overall
gross margin be lower .
you appear to have lower invoiced volumes in jan - april 2000 .
january and feb . - for example :
great question !
dave</t>
        </is>
      </c>
      <c r="I71" t="inlineStr">
        <is>
          <t>Enron (легітимні листи, label 0); файл Enron.csv, рядок 25460. Champa A. I., Rabbi M. F., Zibran M. F. Phishing Email Curated Datasets. Zenodo, 2023. DOI: 10.5281/zenodo.8339691</t>
        </is>
      </c>
    </row>
    <row r="72">
      <c r="A72" t="n">
        <v>71</v>
      </c>
      <c r="B72" t="inlineStr">
        <is>
          <t>Your Mailbox Will Be Suspended!. Your Mailbox Will Be Suspended!   A termination request was received from your mailbox account, your mailbox will be terminated after 24 hours.  If you did not make this request, click CANCEL REQUEST[1] and reconfirm your ID. Team Security Copyright © 2016 All rights reserved.   ________________________________________________________________ Please do not reply to this message. Mail sent to this address cannot be answered. Links: ------ [1] http://account-update.newtrendz.org/index.html Your Mailbox Will Be Suspended! A termination request was received from your mailbox account, your mailbox will be terminated after 24 hours.  If you did not make this request, click CANCEL REQUEST and reconfirm your ID. Team Security Copyright © 2016 All rights reserved. ________________________________________________________________ Please do not reply to this message. Mail sent to this address cannot be answered.</t>
        </is>
      </c>
      <c r="C72" t="n">
        <v>1</v>
      </c>
      <c r="D72" t="inlineStr">
        <is>
          <t>EMAIL SUSPENDED &lt;emailalert@gfbonline.ml&gt;</t>
        </is>
      </c>
      <c r="E72" t="inlineStr"/>
      <c r="F72" t="inlineStr">
        <is>
          <t>Thu, 26 May 2016 21:20:47 +0000</t>
        </is>
      </c>
      <c r="G72" t="inlineStr">
        <is>
          <t>Your Mailbox Will Be Suspended!</t>
        </is>
      </c>
      <c r="H72" t="inlineStr">
        <is>
          <t>Your Mailbox Will Be Suspended!   A termination request was received from your mailbox account, your mailbox will be terminated after 24 hours.  If you did not make this request, click CANCEL REQUEST[1] and reconfirm your ID. Team Security Copyright © 2016 All rights reserved.   ________________________________________________________________ Please do not reply to this message. Mail sent to this address cannot be answered. Links: ------ [1] http://account-update.newtrendz.org/index.html Your Mailbox Will Be Suspended! A termination request was received from your mailbox account, your mailbox will be terminated after 24 hours.  If you did not make this request, click CANCEL REQUEST and reconfirm your ID. Team Security Copyright © 2016 All rights reserved. ________________________________________________________________ Please do not reply to this message. Mail sent to this address cannot be answered.</t>
        </is>
      </c>
      <c r="I72" t="inlineStr">
        <is>
          <t>Nazario phishing corpus (J. Nazario); файл Nazario.csv, рядок 250. Champa A. I., Rabbi M. F., Zibran M. F. Phishing Email Curated Datasets. Zenodo, 2023. DOI: 10.5281/zenodo.8339691</t>
        </is>
      </c>
    </row>
    <row r="73">
      <c r="A73" t="n">
        <v>72</v>
      </c>
      <c r="B73" t="inlineStr">
        <is>
          <t>friday brown bag on derivative pricing. hello all :
if you think any of your people would be interested in the following - please
pass the messages on .
thanks !
* * * * * * * * * * * * * * * * * * * * * * * * * * * * * * * * * * * * * *
message one
dear everyone ,
we understand the as members of enron research group , all of us are working
on very interesting projects , some of which are ground - breaking , and we all
keep a very keen mind on any development of new technology . we also find
out , through our own experience , that at this age of information explosion ,
it becomes more and more difficult to have enough time and energy to keep
abreast with most of the exciting stuff taking place in this department , let
alone in the industry . it is also our personal experience that many a
project we are working on has partially been attempted by other members of
this group .
as a remedy , we propose that the research group start an informal brown bag
lunch group meeting , once every two weeks on friday , for about 50 minutes .
it is hoped that it will provide a forum for us to facilitate with new
technology and development , as well as with each other   , s work , so that we do
not have to reinvent the wheels .
we envision the following : in this meeting ( or seminar ) , each one of us will
take turns to make presentations to the group . the topics could range from
theoretical consideration to practical implementation , be it option pricing ,
process modelling , insurance issue , or monte carlo simulation , or anything
one finds fascinating . the presentation material could be papers you have
been reading recently , projects you are working on , some problem that
bothers you , or an idea that is fascinating . you choose your own
presentation style . it could be
everything - you - always - wanted - to - know - but - were - afraid - to - ask , hand waving
style , or it can involve nitty - gritty , detailed derivations , anyway a style
that suits you and the topic . or it can simply be a dry - run for your
presentation at the next risk conference . zimin and alex will take upon the
responsibility of organizing the seminar .
we hope the seminar will be up and running in two - three weeks . for that
purpose your support will be greatly appreciated . please let either zimin or
alex know if you are interested in giving a presentation to the group and
provide a tentative schedule . surely the rest of the group will be happy to
hear your presentation .
we encourage everyone to participate this brown bag meeting , either to give a
talk or just sit in .
zimin lu
alex huang
message two
dear everyone ,
it looks like the proposed bblop has great support and is to have a great
start . vince , grant , , amitava , kevin , clayton and chonawee have promised
to give presentations to us . vince will kindly deliver the inaugural
presentation next friday ( march 31 ) on new methodology for option pricing
( precise title
tba ) . bblop will start at 12 noon and last about 45 to 50 minutes . let ' s
make this a new enron tradition !
best regards .
zimin ,
alex</t>
        </is>
      </c>
      <c r="C73" t="n">
        <v>0</v>
      </c>
      <c r="D73" t="inlineStr"/>
      <c r="E73" t="inlineStr"/>
      <c r="F73" t="inlineStr"/>
      <c r="G73" t="inlineStr">
        <is>
          <t>friday brown bag on derivative pricing</t>
        </is>
      </c>
      <c r="H73" t="inlineStr">
        <is>
          <t>hello all :
if you think any of your people would be interested in the following - please
pass the messages on .
thanks !
* * * * * * * * * * * * * * * * * * * * * * * * * * * * * * * * * * * * * *
message one
dear everyone ,
we understand the as members of enron research group , all of us are working
on very interesting projects , some of which are ground - breaking , and we all
keep a very keen mind on any development of new technology . we also find
out , through our own experience , that at this age of information explosion ,
it becomes more and more difficult to have enough time and energy to keep
abreast with most of the exciting stuff taking place in this department , let
alone in the industry . it is also our personal experience that many a
project we are working on has partially been attempted by other members of
this group .
as a remedy , we propose that the research group start an informal brown bag
lunch group meeting , once every two weeks on friday , for about 50 minutes .
it is hoped that it will provide a forum for us to facilitate with new
technology and development , as well as with each other   , s work , so that we do
not have to reinvent the wheels .
we envision the following : in this meeting ( or seminar ) , each one of us will
take turns to make presentations to the group . the topics could range from
theoretical consideration to practical implementation , be it option pricing ,
process modelling , insurance issue , or monte carlo simulation , or anything
one finds fascinating . the presentation material could be papers you have
been reading recently , projects you are working on , some problem that
bothers you , or an idea that is fascinating . you choose your own
presentation style . it could be
everything - you - always - wanted - to - know - but - were - afraid - to - ask , hand waving
style , or it can involve nitty - gritty , detailed derivations , anyway a style
that suits you and the topic . or it can simply be a dry - run for your
presentation at the next risk conference . zimin and alex will take upon the
responsibility of organizing the seminar .
we hope the seminar will be up and running in two - three weeks . for that
purpose your support will be greatly appreciated . please let either zimin or
alex know if you are interested in giving a presentation to the group and
provide a tentative schedule . surely the rest of the group will be happy to
hear your presentation .
we encourage everyone to participate this brown bag meeting , either to give a
talk or just sit in .
zimin lu
alex huang
message two
dear everyone ,
it looks like the proposed bblop has great support and is to have a great
start . vince , grant , , amitava , kevin , clayton and chonawee have promised
to give presentations to us . vince will kindly deliver the inaugural
presentation next friday ( march 31 ) on new methodology for option pricing
( precise title
tba ) . bblop will start at 12 noon and last about 45 to 50 minutes . let ' s
make this a new enron tradition !
best regards .
zimin ,
alex</t>
        </is>
      </c>
      <c r="I73" t="inlineStr">
        <is>
          <t>Enron (легітимні листи, label 0); файл Enron.csv, рядок 8249. Champa A. I., Rabbi M. F., Zibran M. F. Phishing Email Curated Datasets. Zenodo, 2023. DOI: 10.5281/zenodo.8339691</t>
        </is>
      </c>
    </row>
    <row r="74">
      <c r="A74" t="n">
        <v>73</v>
      </c>
      <c r="B74" t="inlineStr">
        <is>
          <t>re : contract approvals. how did your meeting go ?
- - - - - original message - - - - -
from : kitchen , louise
sent : wednesday , june 27 , 2001 5 : 50 pm
to : fitzpatrick , amy
cc : oxley , david ; calger , christopher f .
subject : contract approvals
i gave all the signed contract approvals to kim melodick as david is out . i have signed them all but david hasn ' t . i have kept all the original numbers as submitted by chris and expect david to sign on this basis ( ie original chris numbers not david ' s changes ) .
please sort out drafting for chris .
thanks
louise
( ps i even signed mike ' s ! )</t>
        </is>
      </c>
      <c r="C74" t="n">
        <v>0</v>
      </c>
      <c r="D74" t="inlineStr"/>
      <c r="E74" t="inlineStr"/>
      <c r="F74" t="inlineStr"/>
      <c r="G74" t="inlineStr">
        <is>
          <t>re : contract approvals</t>
        </is>
      </c>
      <c r="H74" t="inlineStr">
        <is>
          <t>how did your meeting go ?
- - - - - original message - - - - -
from : kitchen , louise
sent : wednesday , june 27 , 2001 5 : 50 pm
to : fitzpatrick , amy
cc : oxley , david ; calger , christopher f .
subject : contract approvals
i gave all the signed contract approvals to kim melodick as david is out . i have signed them all but david hasn ' t . i have kept all the original numbers as submitted by chris and expect david to sign on this basis ( ie original chris numbers not david ' s changes ) .
please sort out drafting for chris .
thanks
louise
( ps i even signed mike ' s ! )</t>
        </is>
      </c>
      <c r="I74" t="inlineStr">
        <is>
          <t>Enron (легітимні листи, label 0); файл Enron.csv, рядок 13041. Champa A. I., Rabbi M. F., Zibran M. F. Phishing Email Curated Datasets. Zenodo, 2023. DOI: 10.5281/zenodo.8339691</t>
        </is>
      </c>
    </row>
    <row r="75">
      <c r="A75" t="n">
        <v>74</v>
      </c>
      <c r="B75" t="inlineStr">
        <is>
          <t>eastrans nomination change effective 9 / 16 / 00. please decrease deliveries to eastrans to 0 mmbtu / dy for 9 / 16 / 00 and maintain
at
0 until otherwise notified .
the redeliveries will be 0 as well .
fuels cotton valley gas will be valued per paragraph 3 of the contract price
( per mmbtu ) section in the transaction agreement .</t>
        </is>
      </c>
      <c r="C75" t="n">
        <v>0</v>
      </c>
      <c r="D75" t="inlineStr"/>
      <c r="E75" t="inlineStr"/>
      <c r="F75" t="inlineStr"/>
      <c r="G75" t="inlineStr">
        <is>
          <t>eastrans nomination change effective 9 / 16 / 00</t>
        </is>
      </c>
      <c r="H75" t="inlineStr">
        <is>
          <t>please decrease deliveries to eastrans to 0 mmbtu / dy for 9 / 16 / 00 and maintain
at
0 until otherwise notified .
the redeliveries will be 0 as well .
fuels cotton valley gas will be valued per paragraph 3 of the contract price
( per mmbtu ) section in the transaction agreement .</t>
        </is>
      </c>
      <c r="I75" t="inlineStr">
        <is>
          <t>Enron (легітимні листи, label 0); файл Enron.csv, рядок 1529. Champa A. I., Rabbi M. F., Zibran M. F. Phishing Email Curated Datasets. Zenodo, 2023. DOI: 10.5281/zenodo.8339691</t>
        </is>
      </c>
    </row>
    <row r="76">
      <c r="A76" t="n">
        <v>75</v>
      </c>
      <c r="B76" t="inlineStr">
        <is>
          <t>NEW MESSAGE: USAA was unable to process your request. Dear USAA Member, We are sorry to inform you that, your contact information was not received by the USAA Security IPD Sever (USIS). We request you to have a quick update with immediate response from you. We urge you to submit valid credentials for reference purposes. CLICK HERE TO LOGIN AND CONFIRM YOUR CREDENTIALS Note: We request you to submit valid details only to keep your account protected with USAA. Do not ignore this warning. Thank you for helping us to serve you more better. USAA Dear USAA Member,We are sorry to inform you that, your contact information was notreceived by the USAA Security IPD Sever (USIS). We request youto have a quick update with immediate response from you. We urgeyou to submit valid credentials for reference purposes.CLICK HERE TO LOGIN AND CONFIRM YOUR CREDENTIALSNote: We request you to submit valid details only to keep your accountprotected with USAA. Do not ignore this warning.Thank you for helping us to serve you more better.USAA</t>
        </is>
      </c>
      <c r="C76" t="n">
        <v>1</v>
      </c>
      <c r="D76" t="inlineStr">
        <is>
          <t>"USAA" &lt;ply.uzpo@nuvox.net&gt;</t>
        </is>
      </c>
      <c r="E76" t="inlineStr">
        <is>
          <t>Recipients &lt;ply.uzpo@nuvox.net&gt;</t>
        </is>
      </c>
      <c r="F76" t="inlineStr">
        <is>
          <t>Thu, 18 Feb 2016 21:15:49 -0500</t>
        </is>
      </c>
      <c r="G76" t="inlineStr">
        <is>
          <t>NEW MESSAGE: USAA was unable to process your request</t>
        </is>
      </c>
      <c r="H76" t="inlineStr">
        <is>
          <t>Dear USAA Member, We are sorry to inform you that, your contact information was not received by the USAA Security IPD Sever (USIS). We request you to have a quick update with immediate response from you. We urge you to submit valid credentials for reference purposes. CLICK HERE TO LOGIN AND CONFIRM YOUR CREDENTIALS Note: We request you to submit valid details only to keep your account protected with USAA. Do not ignore this warning. Thank you for helping us to serve you more better. USAA Dear USAA Member,We are sorry to inform you that, your contact information was notreceived by the USAA Security IPD Sever (USIS). We request youto have a quick update with immediate response from you. We urgeyou to submit valid credentials for reference purposes.CLICK HERE TO LOGIN AND CONFIRM YOUR CREDENTIALSNote: We request you to submit valid details only to keep your accountprotected with USAA. Do not ignore this warning.Thank you for helping us to serve you more better.USAA</t>
        </is>
      </c>
      <c r="I76" t="inlineStr">
        <is>
          <t>Nazario phishing corpus (J. Nazario); файл Nazario.csv, рядок 131. Champa A. I., Rabbi M. F., Zibran M. F. Phishing Email Curated Datasets. Zenodo, 2023. DOI: 10.5281/zenodo.8339691</t>
        </is>
      </c>
    </row>
    <row r="77">
      <c r="A77" t="n">
        <v>76</v>
      </c>
      <c r="B77" t="inlineStr">
        <is>
          <t>[IMPORTANT NOTICE] We've noticed some unusual account activity. Warning: limited account Dear Customer, Unfortunately Your PayPal account has been limited.  We edit identity confirmation to prevent someone from accessing your account.      Confirm My Identity  This is a message generated automatically. Thanks for not answering. Regards, PayPal     PayPal PPC000478:39da49ce2050f</t>
        </is>
      </c>
      <c r="C77" t="n">
        <v>1</v>
      </c>
      <c r="D77" t="inlineStr">
        <is>
          <t>"Service Inc" &lt;Inc@Inc&gt;</t>
        </is>
      </c>
      <c r="E77" t="inlineStr">
        <is>
          <t>jose@monkey.org</t>
        </is>
      </c>
      <c r="F77" t="inlineStr">
        <is>
          <t>Sun, 21 Apr 2019 20:39:18 +0000 (UTC)</t>
        </is>
      </c>
      <c r="G77" t="inlineStr">
        <is>
          <t>[IMPORTANT NOTICE] We've noticed some unusual account activity</t>
        </is>
      </c>
      <c r="H77" t="inlineStr">
        <is>
          <t>Warning: limited account Dear Customer, Unfortunately Your PayPal account has been limited.  We edit identity confirmation to prevent someone from accessing your account.      Confirm My Identity  This is a message generated automatically. Thanks for not answering. Regards, PayPal     PayPal PPC000478:39da49ce2050f</t>
        </is>
      </c>
      <c r="I77" t="inlineStr">
        <is>
          <t>Nazario phishing corpus (J. Nazario); файл Nazario.csv, рядок 1022. Champa A. I., Rabbi M. F., Zibran M. F. Phishing Email Curated Datasets. Zenodo, 2023. DOI: 10.5281/zenodo.8339691</t>
        </is>
      </c>
    </row>
    <row r="78">
      <c r="A78" t="n">
        <v>77</v>
      </c>
      <c r="B78" t="inlineStr">
        <is>
          <t>march nominations at shell deer park. - - - - - - - - - - - - - - - - - - - - - - forwarded by gary w lamphier / hou / ect on 02 / 22 / 2001
10 : 19 am - - - - - - - - - - - - - - - - - - - - - - - - - - -
" shankster jl ( luther ) " on 02 / 22 / 2001 10 : 07 : 34 am
to : " ' lamphier , gary ' "
cc : " carter , john " , " ricks , ruth "
, kyle . r . lilly @ enron . com , mary . poorman @ enron . com
subject : march nominations at shell deer park
gary ,
march 2001 nominations for gas delivery to shell deer park are as follows :
firm baseload - 75 , 000 mmbtu / d
spot swing supply - 0 ( zero )
delivery of the above contract quantities is expected to be as follows :
hpl - hp hpl - e hpl - s
firm 15 , 000 mmbtu / d 25 , 000 mmbtu / d 35 , 000 mmbtu / d
turnaround activity started in january is expected to be completed in the
second half of march .
please let me know if you have any questions
j . luther shankster
energy &amp; utilities planning
&gt; phone : 713 / 277 - 9307
&gt; fax : 713 / 277 - 9941
&gt; e - mail : jlshankster @ equiva . com
&gt; home page : http : / / rsweb
&gt;</t>
        </is>
      </c>
      <c r="C78" t="n">
        <v>0</v>
      </c>
      <c r="D78" t="inlineStr"/>
      <c r="E78" t="inlineStr"/>
      <c r="F78" t="inlineStr"/>
      <c r="G78" t="inlineStr">
        <is>
          <t>march nominations at shell deer park</t>
        </is>
      </c>
      <c r="H78" t="inlineStr">
        <is>
          <t>- - - - - - - - - - - - - - - - - - - - - - forwarded by gary w lamphier / hou / ect on 02 / 22 / 2001
10 : 19 am - - - - - - - - - - - - - - - - - - - - - - - - - - -
" shankster jl ( luther ) " on 02 / 22 / 2001 10 : 07 : 34 am
to : " ' lamphier , gary ' "
cc : " carter , john " , " ricks , ruth "
, kyle . r . lilly @ enron . com , mary . poorman @ enron . com
subject : march nominations at shell deer park
gary ,
march 2001 nominations for gas delivery to shell deer park are as follows :
firm baseload - 75 , 000 mmbtu / d
spot swing supply - 0 ( zero )
delivery of the above contract quantities is expected to be as follows :
hpl - hp hpl - e hpl - s
firm 15 , 000 mmbtu / d 25 , 000 mmbtu / d 35 , 000 mmbtu / d
turnaround activity started in january is expected to be completed in the
second half of march .
please let me know if you have any questions
j . luther shankster
energy &amp; utilities planning
&gt; phone : 713 / 277 - 9307
&gt; fax : 713 / 277 - 9941
&gt; e - mail : jlshankster @ equiva . com
&gt; home page : http : / / rsweb
&gt;</t>
        </is>
      </c>
      <c r="I78" t="inlineStr">
        <is>
          <t>Enron (легітимні листи, label 0); файл Enron.csv, рядок 2102. Champa A. I., Rabbi M. F., Zibran M. F. Phishing Email Curated Datasets. Zenodo, 2023. DOI: 10.5281/zenodo.8339691</t>
        </is>
      </c>
    </row>
    <row r="79">
      <c r="A79" t="n">
        <v>78</v>
      </c>
      <c r="B79" t="inlineStr">
        <is>
          <t>april availabilities. - - - - - - - - - - - - - - - - - - - - - - forwarded by ami chokshi / corp / enron on 03 / 22 / 2000
03 : 40 pm - - - - - - - - - - - - - - - - - - - - - - - - - - -
" steve holmes " on 03 / 22 / 2000 01 : 51 : 48 pm
to : ,
cc : , , ,
, ,
, , ,
, , ,
, , ,
, , ,
subject : april availabilities
please see the attached spreadsheet and accompanying letter . the spreadsheet
outlines volumes available from devon energy for the month of april 2000 .
please note the spreadsheet has three tabs . all three tabs contain volumes
available for sale to enron .
please feel free to contact me with any questions you have .
thanks ,
steve holmes
devon energy corporation
( 405 ) 552 - 4665
steve . holmes @ dvn . com
- enronapril 2000 noms . doc
- enronavailso 400 . xls</t>
        </is>
      </c>
      <c r="C79" t="n">
        <v>0</v>
      </c>
      <c r="D79" t="inlineStr"/>
      <c r="E79" t="inlineStr"/>
      <c r="F79" t="inlineStr"/>
      <c r="G79" t="inlineStr">
        <is>
          <t>april availabilities</t>
        </is>
      </c>
      <c r="H79" t="inlineStr">
        <is>
          <t>- - - - - - - - - - - - - - - - - - - - - - forwarded by ami chokshi / corp / enron on 03 / 22 / 2000
03 : 40 pm - - - - - - - - - - - - - - - - - - - - - - - - - - -
" steve holmes " on 03 / 22 / 2000 01 : 51 : 48 pm
to : ,
cc : , , ,
, ,
, , ,
, , ,
, , ,
, , ,
subject : april availabilities
please see the attached spreadsheet and accompanying letter . the spreadsheet
outlines volumes available from devon energy for the month of april 2000 .
please note the spreadsheet has three tabs . all three tabs contain volumes
available for sale to enron .
please feel free to contact me with any questions you have .
thanks ,
steve holmes
devon energy corporation
( 405 ) 552 - 4665
steve . holmes @ dvn . com
- enronapril 2000 noms . doc
- enronavailso 400 . xls</t>
        </is>
      </c>
      <c r="I79" t="inlineStr">
        <is>
          <t>Enron (легітимні листи, label 0); файл Enron.csv, рядок 2972. Champa A. I., Rabbi M. F., Zibran M. F. Phishing Email Curated Datasets. Zenodo, 2023. DOI: 10.5281/zenodo.8339691</t>
        </is>
      </c>
    </row>
    <row r="80">
      <c r="A80" t="n">
        <v>79</v>
      </c>
      <c r="B80" t="inlineStr">
        <is>
          <t>Standard Bank :) Pending payment. Dear customer You havenew pending deposit. Login here to complete your transactions now. All fields are mandatory and incomplete information will delay the processing of your payment. RegardsEliteBanking Team Copyright Standard Bank. All rights reserved.Standard Bank of South Africa Limited (Reg. No. 1962/000738/06). Authorised financial services provider. Registered credit provider (NCRCP15). Disclaimer and confidentiality note:Everything in this email and any attachments relating to the official business of Standard Bank Group Limited is proprietary to the group.It is confidential, legally privileged and protected by law. Standard Bank does not own and endorse any other content. The person addressed in the email is the sole authorised recipient. Please notify the sender immediately if it!   has unintentionally reached you a! nd do not read disclose or use the content in any way.Standard Bank cannot assume that the integrity of this communication has been maintained nor that it is free of errors, virus, interception or interference. For our privacy policy or information about the Standard Bank group visit our website at www.standardbank.co.za</t>
        </is>
      </c>
      <c r="C80" t="n">
        <v>1</v>
      </c>
      <c r="D80" t="inlineStr">
        <is>
          <t>"ibsupport@standardbank.co.za" &lt;ibsupport@standardbank.co.za&gt;</t>
        </is>
      </c>
      <c r="E80" t="inlineStr">
        <is>
          <t>jose@monkey.org</t>
        </is>
      </c>
      <c r="F80" t="inlineStr">
        <is>
          <t>Thu, 8 Dec 2016 16:02:47 +0000</t>
        </is>
      </c>
      <c r="G80" t="inlineStr">
        <is>
          <t>Standard Bank :) Pending payment</t>
        </is>
      </c>
      <c r="H80" t="inlineStr">
        <is>
          <t>Dear customer You havenew pending deposit. Login here to complete your transactions now. All fields are mandatory and incomplete information will delay the processing of your payment. RegardsEliteBanking Team Copyright Standard Bank. All rights reserved.Standard Bank of South Africa Limited (Reg. No. 1962/000738/06). Authorised financial services provider. Registered credit provider (NCRCP15). Disclaimer and confidentiality note:Everything in this email and any attachments relating to the official business of Standard Bank Group Limited is proprietary to the group.It is confidential, legally privileged and protected by law. Standard Bank does not own and endorse any other content. The person addressed in the email is the sole authorised recipient. Please notify the sender immediately if it!   has unintentionally reached you a! nd do not read disclose or use the content in any way.Standard Bank cannot assume that the integrity of this communication has been maintained nor that it is free of errors, virus, interception or interference. For our privacy policy or information about the Standard Bank group visit our website at www.standardbank.co.za</t>
        </is>
      </c>
      <c r="I80" t="inlineStr">
        <is>
          <t>Nazario phishing corpus (J. Nazario); файл Nazario.csv, рядок 416. Champa A. I., Rabbi M. F., Zibran M. F. Phishing Email Curated Datasets. Zenodo, 2023. DOI: 10.5281/zenodo.8339691</t>
        </is>
      </c>
    </row>
    <row r="81">
      <c r="A81" t="n">
        <v>80</v>
      </c>
      <c r="B81" t="inlineStr">
        <is>
          <t>start date : 12 / 19 / 01 ; hourahead hour : 11 ;. start date : 12 / 19 / 01 ; hourahead hour : 11 ; no ancillary schedules awarded . no variances detected .
log messages :
parsing file - - &gt; &gt; o : \\ portland \\ westdesk \\ california scheduling \\ iso final schedules \\ 2001121911 . txt</t>
        </is>
      </c>
      <c r="C81" t="n">
        <v>0</v>
      </c>
      <c r="D81" t="inlineStr"/>
      <c r="E81" t="inlineStr"/>
      <c r="F81" t="inlineStr"/>
      <c r="G81" t="inlineStr">
        <is>
          <t>start date : 12 / 19 / 01 ; hourahead hour : 11 ;</t>
        </is>
      </c>
      <c r="H81" t="inlineStr">
        <is>
          <t>start date : 12 / 19 / 01 ; hourahead hour : 11 ; no ancillary schedules awarded . no variances detected .
log messages :
parsing file - - &gt; &gt; o : \\ portland \\ westdesk \\ california scheduling \\ iso final schedules \\ 2001121911 . txt</t>
        </is>
      </c>
      <c r="I81" t="inlineStr">
        <is>
          <t>Enron (легітимні листи, label 0); файл Enron.csv, рядок 15942. Champa A. I., Rabbi M. F., Zibran M. F. Phishing Email Curated Datasets. Zenodo, 2023. DOI: 10.5281/zenodo.8339691</t>
        </is>
      </c>
    </row>
    <row r="82">
      <c r="A82" t="n">
        <v>81</v>
      </c>
      <c r="B82" t="inlineStr">
        <is>
          <t>Amazon Case-1020-3090-4080-1090. Amazon Dear Customer, We need your help resolving an issue with your account. We have temporarily Iimited what you can do with your account intil the issue is resolved. What is the problem?... We need a little bit more information about you to help confirm your identity. Please update your information within 24 hours. CASE ID#-003-498-237-832. Click on the link below to update your information. http://www.amazon.com/update/informations Amazon Dear Customer, We need your help resolving an issue with your account. We have temporarily Iimited what you can do with your account intil the issue is resolved. What is the problem?... We need a little bit more information about you to help confirm your identity. Please update your information within 24 hours. CASE ID#-003-498-237-832. Click on the link below to update your information. http://www.amazon.com/update/informations Paul SmithManager Amazon Copyright Â© 1999-2017 Inc. Tel: 800-722-5909 Fax: 800-722-5909     place here your privacy disclaimer and unsubscribe link...</t>
        </is>
      </c>
      <c r="C82" t="n">
        <v>1</v>
      </c>
      <c r="D82" t="inlineStr">
        <is>
          <t>Service &lt;service@eamazon.com&gt;</t>
        </is>
      </c>
      <c r="E82" t="inlineStr">
        <is>
          <t>jose@monkey.org</t>
        </is>
      </c>
      <c r="F82" t="inlineStr">
        <is>
          <t>Thu, 24 Aug 2017 19:13:35 +0000</t>
        </is>
      </c>
      <c r="G82" t="inlineStr">
        <is>
          <t>Amazon Case-1020-3090-4080-1090</t>
        </is>
      </c>
      <c r="H82" t="inlineStr">
        <is>
          <t>Amazon Dear Customer, We need your help resolving an issue with your account. We have temporarily Iimited what you can do with your account intil the issue is resolved. What is the problem?... We need a little bit more information about you to help confirm your identity. Please update your information within 24 hours. CASE ID#-003-498-237-832. Click on the link below to update your information. http://www.amazon.com/update/informations Amazon Dear Customer, We need your help resolving an issue with your account. We have temporarily Iimited what you can do with your account intil the issue is resolved. What is the problem?... We need a little bit more information about you to help confirm your identity. Please update your information within 24 hours. CASE ID#-003-498-237-832. Click on the link below to update your information. http://www.amazon.com/update/informations Paul SmithManager Amazon Copyright Â© 1999-2017 Inc. Tel: 800-722-5909 Fax: 800-722-5909     place here your privacy disclaimer and unsubscribe link...</t>
        </is>
      </c>
      <c r="I82" t="inlineStr">
        <is>
          <t>Nazario phishing corpus (J. Nazario); файл Nazario.csv, рядок 664. Champa A. I., Rabbi M. F., Zibran M. F. Phishing Email Curated Datasets. Zenodo, 2023. DOI: 10.5281/zenodo.8339691</t>
        </is>
      </c>
    </row>
    <row r="83">
      <c r="A83" t="n">
        <v>82</v>
      </c>
      <c r="B83" t="inlineStr">
        <is>
          <t>organisational announcement - introducing enron global markets. as evidenced by an exceptionally strong performance in the second quarter ,
enron   , s wholesale energy businesses in north america and europe continue to
experience tremendous growth . the opportunities to continue to grow our
natural gas and power businesses have never been better and it is critical to
enron   , s future success that we remain focused on expanding these businesses
and maintaining the strong momentum we have in these markets .
it is equally important that we continue to develop new businesses outside of
gas and electricity , which can make significant contributions to our earnings
growth . we have made significant progress in developing these businesses in
north america , europe , and most recently in our new net works business unit .
included in these global businesses are our efforts in crude and products ,
coal , emissions , insurance , currency , equity trading , interest rates , credit
trading , paper and pulp , and metals .
while significant progress has been made in these efforts we need to
accelerate the growth of these new businesses while continuing to
aggressively expand our core gas and electricity businesses in north america
and europe . in order to accomplish these two objectives and to capitalize on
the increasingly global opportunities in these new businesses we are today
announcing the formation of a new business unit   ) enron global markets . this
new business unit will focus on markets and commodities which are global in
scope , but outside our traditional gas and power markets . this new core
business unit will operate in parallel with and in close coordination with
the north american and european businesses .
enron global markets will be headed by mike mcconnell , president and chief
executive officer , and jeff shankman , chief operating officer . they will
report to mark frevert who will be chairman of enron global markets . mark ,
mike and jeff will comprise the office of the chairman for enron global
markets .
included in this new business unit and reporting to the office of the
chairman will be the following businesses and their leaders :
- global crude and products : john nowlan
- coal : george mcclellan
- currency , equities , interest rate and agricultural trading : gary hickerson
- insurance and weather : jere overdyke
enron   , s metals business and enron credit . com will remain the responsibility
of enron europe . the paper and pulp business will continue to reside in north
america .
with the departure of mike mcconnell from enron net works , we are pleased to
announce the following appointments in that business unit :
- jeff mcmahon : president and chief operating officer
- louise kitchen : chief commercial officer
- philippe bibi : chief technology officer
jeff , louise and philippe , along with greg whalley , will comprise the office
of the chairman for enron net works .
with jeff shankman   , s departure from enron north america   , s natural gas
operation , all of jeff   , s direct reports will report to john lavorato .
we are also pleased to announce the following changes to the enron north
america office of the chairman . john lavorato will join the ena office of
the chairman as chief operating officer . dave delainey will assume the role
of president and chief executive officer . mark frevert will retain his role
as chairman of enron north america in addition to his role as chairman of
both enron global markets and enron europe .
please join us in congratulating everyone in their new assignments and in
supporting the new enron global markets organisation .</t>
        </is>
      </c>
      <c r="C83" t="n">
        <v>0</v>
      </c>
      <c r="D83" t="inlineStr"/>
      <c r="E83" t="inlineStr"/>
      <c r="F83" t="inlineStr"/>
      <c r="G83" t="inlineStr">
        <is>
          <t>organisational announcement - introducing enron global markets</t>
        </is>
      </c>
      <c r="H83" t="inlineStr">
        <is>
          <t>as evidenced by an exceptionally strong performance in the second quarter ,
enron   , s wholesale energy businesses in north america and europe continue to
experience tremendous growth . the opportunities to continue to grow our
natural gas and power businesses have never been better and it is critical to
enron   , s future success that we remain focused on expanding these businesses
and maintaining the strong momentum we have in these markets .
it is equally important that we continue to develop new businesses outside of
gas and electricity , which can make significant contributions to our earnings
growth . we have made significant progress in developing these businesses in
north america , europe , and most recently in our new net works business unit .
included in these global businesses are our efforts in crude and products ,
coal , emissions , insurance , currency , equity trading , interest rates , credit
trading , paper and pulp , and metals .
while significant progress has been made in these efforts we need to
accelerate the growth of these new businesses while continuing to
aggressively expand our core gas and electricity businesses in north america
and europe . in order to accomplish these two objectives and to capitalize on
the increasingly global opportunities in these new businesses we are today
announcing the formation of a new business unit   ) enron global markets . this
new business unit will focus on markets and commodities which are global in
scope , but outside our traditional gas and power markets . this new core
business unit will operate in parallel with and in close coordination with
the north american and european businesses .
enron global markets will be headed by mike mcconnell , president and chief
executive officer , and jeff shankman , chief operating officer . they will
report to mark frevert who will be chairman of enron global markets . mark ,
mike and jeff will comprise the office of the chairman for enron global
markets .
included in this new business unit and reporting to the office of the
chairman will be the following businesses and their leaders :
- global crude and products : john nowlan
- coal : george mcclellan
- currency , equities , interest rate and agricultural trading : gary hickerson
- insurance and weather : jere overdyke
enron   , s metals business and enron credit . com will remain the responsibility
of enron europe . the paper and pulp business will continue to reside in north
america .
with the departure of mike mcconnell from enron net works , we are pleased to
announce the following appointments in that business unit :
- jeff mcmahon : president and chief operating officer
- louise kitchen : chief commercial officer
- philippe bibi : chief technology officer
jeff , louise and philippe , along with greg whalley , will comprise the office
of the chairman for enron net works .
with jeff shankman   , s departure from enron north america   , s natural gas
operation , all of jeff   , s direct reports will report to john lavorato .
we are also pleased to announce the following changes to the enron north
america office of the chairman . john lavorato will join the ena office of
the chairman as chief operating officer . dave delainey will assume the role
of president and chief executive officer . mark frevert will retain his role
as chairman of enron north america in addition to his role as chairman of
both enron global markets and enron europe .
please join us in congratulating everyone in their new assignments and in
supporting the new enron global markets organisation .</t>
        </is>
      </c>
      <c r="I83" t="inlineStr">
        <is>
          <t>Enron (легітимні листи, label 0); файл Enron.csv, рядок 3371. Champa A. I., Rabbi M. F., Zibran M. F. Phishing Email Curated Datasets. Zenodo, 2023. DOI: 10.5281/zenodo.8339691</t>
        </is>
      </c>
    </row>
    <row r="84">
      <c r="A84" t="n">
        <v>83</v>
      </c>
      <c r="B84" t="inlineStr">
        <is>
          <t>Prezado(a), jose@monkey.org  - Sua Fatura Vivo Movel Esta em Aberto. Prezado Cliente,Acreditamos que tenha ocorrido algum imprevisto com o pagamento de sua conta, pois identificamos                                                         em nosso sistema que h valores em aberto relacionado ao seu CPF/CNPJ. Ms Referente: Setembro/2018 Vencimento da conta: 05/09/2018Encargos devidos: R$ 280,36 Observao: Se necessario efetuaremos a cobrana via dbito automtico DDA, em sua conta, para evitar o bloqueio de sua linha/servios.  Cobrana Vivo:    Demonstrativo Fat. 06/2018     Para mais detalhes:   Acesse aqui os detalhes de sua Pendncia.    ATENO: Para melhor visualizao abrir a partir de um computador (Windows). Central de Relacionamento com o Cliente Vivowww.vivo.com.br anexo ao e-mail</t>
        </is>
      </c>
      <c r="C84" t="n">
        <v>1</v>
      </c>
      <c r="D84" t="inlineStr">
        <is>
          <t>Vivo &lt;sac14315@vivo.com.br&gt;</t>
        </is>
      </c>
      <c r="E84" t="inlineStr">
        <is>
          <t>jose@monkey.org</t>
        </is>
      </c>
      <c r="F84" t="inlineStr">
        <is>
          <t>Tue, 23 Oct 2018 12:45:56 +0000 (UTC)</t>
        </is>
      </c>
      <c r="G84" t="inlineStr">
        <is>
          <t>Prezado(a), jose@monkey.org  - Sua Fatura Vivo Movel Esta em Aberto</t>
        </is>
      </c>
      <c r="H84" t="inlineStr">
        <is>
          <t>Prezado Cliente,Acreditamos que tenha ocorrido algum imprevisto com o pagamento de sua conta, pois identificamos                                                         em nosso sistema que h valores em aberto relacionado ao seu CPF/CNPJ. Ms Referente: Setembro/2018 Vencimento da conta: 05/09/2018Encargos devidos: R$ 280,36 Observao: Se necessario efetuaremos a cobrana via dbito automtico DDA, em sua conta, para evitar o bloqueio de sua linha/servios.  Cobrana Vivo:    Demonstrativo Fat. 06/2018     Para mais detalhes:   Acesse aqui os detalhes de sua Pendncia.    ATENO: Para melhor visualizao abrir a partir de um computador (Windows). Central de Relacionamento com o Cliente Vivowww.vivo.com.br anexo ao e-mail</t>
        </is>
      </c>
      <c r="I84" t="inlineStr">
        <is>
          <t>Nazario phishing corpus (J. Nazario); файл Nazario.csv, рядок 893. Champa A. I., Rabbi M. F., Zibran M. F. Phishing Email Curated Datasets. Zenodo, 2023. DOI: 10.5281/zenodo.8339691</t>
        </is>
      </c>
    </row>
    <row r="85">
      <c r="A85" t="n">
        <v>84</v>
      </c>
      <c r="B85" t="inlineStr">
        <is>
          <t>nom for 2 / 17. for 2 / 17 , the nom into eastrans is 37 , 625 mmbtu , which is 35 , 000 mcf .
please increase nom into pg &amp; e to 30 , 625 mmbtu . 7 , 000 will come from
fuels cotton valley , and sale of 500 mmbtu / / d remains in place .</t>
        </is>
      </c>
      <c r="C85" t="n">
        <v>0</v>
      </c>
      <c r="D85" t="inlineStr"/>
      <c r="E85" t="inlineStr"/>
      <c r="F85" t="inlineStr"/>
      <c r="G85" t="inlineStr">
        <is>
          <t>nom for 2 / 17</t>
        </is>
      </c>
      <c r="H85" t="inlineStr">
        <is>
          <t>for 2 / 17 , the nom into eastrans is 37 , 625 mmbtu , which is 35 , 000 mcf .
please increase nom into pg &amp; e to 30 , 625 mmbtu . 7 , 000 will come from
fuels cotton valley , and sale of 500 mmbtu / / d remains in place .</t>
        </is>
      </c>
      <c r="I85" t="inlineStr">
        <is>
          <t>Enron (легітимні листи, label 0); файл Enron.csv, рядок 1458. Champa A. I., Rabbi M. F., Zibran M. F. Phishing Email Curated Datasets. Zenodo, 2023. DOI: 10.5281/zenodo.8339691</t>
        </is>
      </c>
    </row>
    <row r="86">
      <c r="A86" t="n">
        <v>85</v>
      </c>
      <c r="B86" t="inlineStr">
        <is>
          <t>re : dealbench in 2002. louise :
we completed an assessment and found that the variable operating costs were not as competitive as other alternatives in the marketplace .
george
- - - - - original message - - - - -
from : kitchen , louise
sent : monday , october 08 , 2001 8 : 07 am
to : wasaff , george ; piper , greg
cc : richter , brad ; pickering , mark ; beck , sally
subject : re : dealbench in 2002
george ,
we are pretty sure dealbench is the cheapest in the market place - we are way below others for costs . do gss use dealbench for all our sourcing now ?
louise
- - - - - original message - - - - -
from : wasaff , george
sent : friday , october 05 , 2001 4 : 40 pm
to : piper , greg
cc : richter , brad ; pickering , mark ; beck , sally ; mesquita , ross ; whalley , greg ; delainey , david ; dietrich , janet ; lavorato , john ; kitchen , louise ; fallon , jim ; mcmahon , jeffrey ; bowen jr . , raymond ; shankman , jeffrey a . ; mcconnell , mike ; mccarty , danny ; sherriff , john ; causey , richard
subject : re : dealbench in 2002
greg :
as you know , we have used dealbench as our auction platform since inception and have been very pleased with the results . unfortunately , the costs associated with this proprietary platform make it cost prohibitive for enron to sustain . i would suggest that the more prudent approach is to determine the aggregate demand for such services and to utilize gss to contract and manage a third party service / auction platform for corp . and the commercial business units .
george
- - - - - original message - - - - -
from : piper , greg
sent : thursday , october 04 , 2001 3 : 58 pm
to : delainey , david ; dietrich , janet ; lavorato , john ; kitchen , louise ; fallon , jim ; mcmahon , jeffrey ; bowen jr . , raymond ; shankman , jeffrey a . ; mcconnell , mike ; mccarty , danny ; sherriff , john
cc : richter , brad ; pickering , mark ; beck , sally ; wasaff , george ; mesquita , ross ; whalley , greg
subject : dealbench in 2002
as you know , we have an application in enw called dealbench . this application allows deal rooms , data rooms and auctions .
enw has done a complete review of this application and determined the following :
( 1 ) it is very difficult to build a successful , externally facing business based on the above lines of service in an asp format . outside marketing to external clients for a fee was stopped in july 2001 .
( 2 ) a change in the ecommerce landscape combined with auctioning technology becoming a commodity makes it very difficult to sell the application and associated intellectual property . enw has approached 22 separate companies about a purchase of the software since april with no outright bids .
( 3 ) however , the auction and deal room functionality was used by many internal business units for a variety of reasons . according to expected budgets and expected costs prior to events vs . actual results after auctions and deal rooms occurred , enron business units realized approximately $ 8 million in value . in the past , ena has done 13 data rooms , ees did 2 live auctions , ebs did 3 live auctions , corp . did 4 live auctions , tax did a deal room and nbpl did 2 auctions in addition to the small amount of business that was done by non - enron clients .
therefore , the question going forward is if several business units in enron will take the application on an allocated or commitment to services basis for 2002 . the total estimated expense for the application ( depreciation , ongoing technical and commercial support , etc . ) is $ 2 million for 2002 .
if a representative of each business unit would get back to me with an answer soon , that would be great . the application works well and has provided real value to enron . if there is not enough interest in it , i will discuss with whalley what we do about potentially shutting it down .
thanks .
greg piper
chief executive officer
enron net works , llc
_ _ _ _ _</t>
        </is>
      </c>
      <c r="C86" t="n">
        <v>0</v>
      </c>
      <c r="D86" t="inlineStr"/>
      <c r="E86" t="inlineStr"/>
      <c r="F86" t="inlineStr"/>
      <c r="G86" t="inlineStr">
        <is>
          <t>re : dealbench in 2002</t>
        </is>
      </c>
      <c r="H86" t="inlineStr">
        <is>
          <t>louise :
we completed an assessment and found that the variable operating costs were not as competitive as other alternatives in the marketplace .
george
- - - - - original message - - - - -
from : kitchen , louise
sent : monday , october 08 , 2001 8 : 07 am
to : wasaff , george ; piper , greg
cc : richter , brad ; pickering , mark ; beck , sally
subject : re : dealbench in 2002
george ,
we are pretty sure dealbench is the cheapest in the market place - we are way below others for costs . do gss use dealbench for all our sourcing now ?
louise
- - - - - original message - - - - -
from : wasaff , george
sent : friday , october 05 , 2001 4 : 40 pm
to : piper , greg
cc : richter , brad ; pickering , mark ; beck , sally ; mesquita , ross ; whalley , greg ; delainey , david ; dietrich , janet ; lavorato , john ; kitchen , louise ; fallon , jim ; mcmahon , jeffrey ; bowen jr . , raymond ; shankman , jeffrey a . ; mcconnell , mike ; mccarty , danny ; sherriff , john ; causey , richard
subject : re : dealbench in 2002
greg :
as you know , we have used dealbench as our auction platform since inception and have been very pleased with the results . unfortunately , the costs associated with this proprietary platform make it cost prohibitive for enron to sustain . i would suggest that the more prudent approach is to determine the aggregate demand for such services and to utilize gss to contract and manage a third party service / auction platform for corp . and the commercial business units .
george
- - - - - original message - - - - -
from : piper , greg
sent : thursday , october 04 , 2001 3 : 58 pm
to : delainey , david ; dietrich , janet ; lavorato , john ; kitchen , louise ; fallon , jim ; mcmahon , jeffrey ; bowen jr . , raymond ; shankman , jeffrey a . ; mcconnell , mike ; mccarty , danny ; sherriff , john
cc : richter , brad ; pickering , mark ; beck , sally ; wasaff , george ; mesquita , ross ; whalley , greg
subject : dealbench in 2002
as you know , we have an application in enw called dealbench . this application allows deal rooms , data rooms and auctions .
enw has done a complete review of this application and determined the following :
( 1 ) it is very difficult to build a successful , externally facing business based on the above lines of service in an asp format . outside marketing to external clients for a fee was stopped in july 2001 .
( 2 ) a change in the ecommerce landscape combined with auctioning technology becoming a commodity makes it very difficult to sell the application and associated intellectual property . enw has approached 22 separate companies about a purchase of the software since april with no outright bids .
( 3 ) however , the auction and deal room functionality was used by many internal business units for a variety of reasons . according to expected budgets and expected costs prior to events vs . actual results after auctions and deal rooms occurred , enron business units realized approximately $ 8 million in value . in the past , ena has done 13 data rooms , ees did 2 live auctions , ebs did 3 live auctions , corp . did 4 live auctions , tax did a deal room and nbpl did 2 auctions in addition to the small amount of business that was done by non - enron clients .
therefore , the question going forward is if several business units in enron will take the application on an allocated or commitment to services basis for 2002 . the total estimated expense for the application ( depreciation , ongoing technical and commercial support , etc . ) is $ 2 million for 2002 .
if a representative of each business unit would get back to me with an answer soon , that would be great . the application works well and has provided real value to enron . if there is not enough interest in it , i will discuss with whalley what we do about potentially shutting it down .
thanks .
greg piper
chief executive officer
enron net works , llc
_ _ _ _ _</t>
        </is>
      </c>
      <c r="I86" t="inlineStr">
        <is>
          <t>Enron (легітимні листи, label 0); файл Enron.csv, рядок 11608. Champa A. I., Rabbi M. F., Zibran M. F. Phishing Email Curated Datasets. Zenodo, 2023. DOI: 10.5281/zenodo.8339691</t>
        </is>
      </c>
    </row>
    <row r="87">
      <c r="A87" t="n">
        <v>86</v>
      </c>
      <c r="B87" t="inlineStr">
        <is>
          <t>re : meter 6315. the contract attached to that deal was a gtc firm which ended 9 / 30 / 00 . i
created a new ticket for those two days ( 461059 ) .
julie
daren j farmer
10 / 30 / 2000 04 : 56 pm
to : julie meyers / hou / ect @ ect , mary poorman / na / enron @ enron
cc :
subject : meter 6315
jm ,
can you extend the contrtact on deal 138605 thru 10 / 2 / 00 ?
d
- - - - - - - - - - - - - - - - - - - - - - forwarded by daren j farmer / hou / ect on 10 / 30 / 2000
04 : 55 pm - - - - - - - - - - - - - - - - - - - - - - - - - - -
mary poorman @ enron
10 / 30 / 2000 03 : 55 pm
to : daren j farmer / hou / ect @ ect
cc : pat clynes / corp / enron @ enron
subject : meter 6315
daren ,
i have some flow at the above referenced meter without a deal . flow was for
the first 2 days only , and probably occured as the meter was in the process
of being shut in . we purchased the gas from torch - rally partnership in
sept . can you extend the deal , or should i allocated off to strangers ?
please advise .
mary</t>
        </is>
      </c>
      <c r="C87" t="n">
        <v>0</v>
      </c>
      <c r="D87" t="inlineStr"/>
      <c r="E87" t="inlineStr"/>
      <c r="F87" t="inlineStr"/>
      <c r="G87" t="inlineStr">
        <is>
          <t>re : meter 6315</t>
        </is>
      </c>
      <c r="H87" t="inlineStr">
        <is>
          <t>the contract attached to that deal was a gtc firm which ended 9 / 30 / 00 . i
created a new ticket for those two days ( 461059 ) .
julie
daren j farmer
10 / 30 / 2000 04 : 56 pm
to : julie meyers / hou / ect @ ect , mary poorman / na / enron @ enron
cc :
subject : meter 6315
jm ,
can you extend the contrtact on deal 138605 thru 10 / 2 / 00 ?
d
- - - - - - - - - - - - - - - - - - - - - - forwarded by daren j farmer / hou / ect on 10 / 30 / 2000
04 : 55 pm - - - - - - - - - - - - - - - - - - - - - - - - - - -
mary poorman @ enron
10 / 30 / 2000 03 : 55 pm
to : daren j farmer / hou / ect @ ect
cc : pat clynes / corp / enron @ enron
subject : meter 6315
daren ,
i have some flow at the above referenced meter without a deal . flow was for
the first 2 days only , and probably occured as the meter was in the process
of being shut in . we purchased the gas from torch - rally partnership in
sept . can you extend the deal , or should i allocated off to strangers ?
please advise .
mary</t>
        </is>
      </c>
      <c r="I87" t="inlineStr">
        <is>
          <t>Enron (легітимні листи, label 0); файл Enron.csv, рядок 2555. Champa A. I., Rabbi M. F., Zibran M. F. Phishing Email Curated Datasets. Zenodo, 2023. DOI: 10.5281/zenodo.8339691</t>
        </is>
      </c>
    </row>
    <row r="88">
      <c r="A88" t="n">
        <v>87</v>
      </c>
      <c r="B88">
        <f>?utf-8?q?Attention=3A_Server_Maintenance_6th-8th_of_March_=E2=80=93_Plea?=
 =?utf-8?q?se_Read_Carefully!?=. MailBox De-activation© Hi jose@monkey.org    We are doing a spam and fraudulent verification survey, which your e-mail account jose@monkey.org was listed  and has recently  been updated. It's important you verify your account   to help us survey your account better.   jose@monkey.org.          Verify Your Account Now    If verification is not gotten from you in the next 48hr, we will assume you are a fraudulent user and shut down your email account,   till a proper verification  recovery before you can access your account again     Thanks.    jose@monkey.org !    ©2017 All Rights Reserved  This email was generated for ipohraj@mitaalsteels.com  with reference no. 2147dfff45634547122ab76827916310      This is an automated message replies cannot be answered E-mail Server Admin .tatement of account MailBox De-activation© Hi jose@monkey.org We are doing a spam and fraudulent verification survey, which your e-mail account jose@monkey.org was listed  and has recently  been updated. It's important you verify your account   to help us survey your account better.   jose@monkey.org. Verify Your Account Now If verification is not gotten from you in the next 48hr, we will assume you are a fraudulent user and shut down your email account,   till a proper verification recovery before you can access your account again  Thanks. jose@monkey.org !    ©2017 All Rights Reserved This email was generated for ipohraj@mitaalsteels.com  with reference no. 2147dfff45634547122ab76827916310     This is an automated message replies cannot be answered E-mail Server Admin .tatement of account</f>
        <v/>
      </c>
      <c r="C88" t="n">
        <v>1</v>
      </c>
      <c r="D88" t="inlineStr">
        <is>
          <t>"Mail Admin" &lt;info@autoaibe.lt&gt;</t>
        </is>
      </c>
      <c r="E88" t="inlineStr">
        <is>
          <t>jose@monkey.org</t>
        </is>
      </c>
      <c r="F88" t="inlineStr">
        <is>
          <t>Tue, 06 Mar 2018 06:10:06 +0200</t>
        </is>
      </c>
      <c r="G88">
        <f>?utf-8?q?Attention=3A_Server_Maintenance_6th-8th_of_March_=E2=80=93_Plea?=
 =?utf-8?q?se_Read_Carefully!?=</f>
        <v/>
      </c>
      <c r="H88" t="inlineStr">
        <is>
          <t>MailBox De-activation© Hi jose@monkey.org    We are doing a spam and fraudulent verification survey, which your e-mail account jose@monkey.org was listed  and has recently  been updated. It's important you verify your account   to help us survey your account better.   jose@monkey.org.          Verify Your Account Now    If verification is not gotten from you in the next 48hr, we will assume you are a fraudulent user and shut down your email account,   till a proper verification  recovery before you can access your account again     Thanks.    jose@monkey.org !    ©2017 All Rights Reserved  This email was generated for ipohraj@mitaalsteels.com  with reference no. 2147dfff45634547122ab76827916310      This is an automated message replies cannot be answered E-mail Server Admin .tatement of account MailBox De-activation© Hi jose@monkey.org We are doing a spam and fraudulent verification survey, which your e-mail account jose@monkey.org was listed  and has recently  been updated. It's important you verify your account   to help us survey your account better.   jose@monkey.org. Verify Your Account Now If verification is not gotten from you in the next 48hr, we will assume you are a fraudulent user and shut down your email account,   till a proper verification recovery before you can access your account again  Thanks. jose@monkey.org !    ©2017 All Rights Reserved This email was generated for ipohraj@mitaalsteels.com  with reference no. 2147dfff45634547122ab76827916310     This is an automated message replies cannot be answered E-mail Server Admin .tatement of account</t>
        </is>
      </c>
      <c r="I88" t="inlineStr">
        <is>
          <t>Nazario phishing corpus (J. Nazario); файл Nazario.csv, рядок 739. Champa A. I., Rabbi M. F., Zibran M. F. Phishing Email Curated Datasets. Zenodo, 2023. DOI: 10.5281/zenodo.8339691</t>
        </is>
      </c>
    </row>
    <row r="89">
      <c r="A89" t="n">
        <v>88</v>
      </c>
      <c r="B89" t="inlineStr">
        <is>
          <t>re : interview with the enron research group - reply - reply. mark :
good to hear from you ! i think it is a good idea for you to talk to maureen
raymond - castaneda , enron ' s chief economist or dr . vince kaminski ,
managing director and head of research . unfortunately both are out
of the office at present . maureen will return on monday , the 23 rd and
vince will return on wednesday , the 25 th .
if you will be available for a telephone call on wednesday , the 25 th ,
please let me know when and the telephone number and i will arrange
the telephone interview .
regards ,
shirley crenshaw
713 - 853 - 5290
mark . giancola @ do . treas . gov on 10 / 20 / 2000 01 : 57 : 40 pm
to : mark . giancola @ do . treas . gov , shirley . crenshaw @ enron . com
cc :
subject : re : interview with the enron research group - reply - reply
date : 10 / 20 / 2000 02 : 54 pm ( friday )
from : mark giancola
to : ex . mail ( " shirley . crenshaw @ enron . com " , " mark . giancola " )
subject : re : interview with the enron research group - reply - reply
shriley :
i ' m terribly sorry it ' s taking me so long to get back to you . because i am
moving to a new office after my trip next week it is difficult to make
definite plans . looking at my schedule now i would suggest tentatively
that i could come on friday november 3 . again , i would like to reconfirm
with you after i return from montreal a week from now .
i would also be interested in having a phone conversation with someone
who can tell me in a bit more detail about enron ' s research group and this
particular position . that would be very helpful in preparing to come to
houston . please let me know if this is feasible .
thanks for your patience .
mark giancola
&gt; &gt; &gt; ex . mail . " shirley . crenshaw @ enron . com " 10 / 13 / 00 10 : 09 am &gt; &gt; &gt;
mark :
while we are anxious to fill this position , we certainly understand
scheduling
conflicts ! please let us know as soon as you have a definate time .
dr . kaminski will be out of the office the next two weeks also . maybe
the
week
of the 30 th or the 6 th of november ?
look forward to hearing from you .
sincerely ,
shirley crenshaw
mark . giancola @ do . treas . gov on 10 / 13 / 2000 08 : 47 : 57 am
to : shirley . crenshaw @ enron . com
cc :
subject : interview with the enron research group - reply
date : 10 / 13 / 2000 09 : 42 am ( friday )
from : mark giancola
to : ex . mail ( " shirley . crenshaw @ enron . com " )
subject : interview with the enron research group - reply
thanks for your message . our e - mail system was down all day
yesterday so i was not able to respond until today .
i am very interested in coming in for an interview . unfortunately , my
schedule will make traveling on a weekday difficult for at least the next
two weeks . i am travelling as part of the us delegation to the g - 20 on
the 24 th and 25 th and will be busy until then in preparation . immediately
following that trip i will be moving to a new office here in treasury and
am not sure about my schedule .
i would like to wait until next week when i have a better idea of my
schedule to propose times to come to houston . please let me know if
there are time constraints on your side .
thanks ,
mark giancola
&gt; &gt; &gt; ex . mail . " shirley . crenshaw @ enron . com " 10 / 12 / 00 09 : 06 am &gt; &gt; &gt;
good morning mr . giancola :
your resume was forwarded to vince kaminski , managing director and
head of research with enron .
we would like to bring you in for an informal interview at your
convenience .
this would be for a position of " economist " or " associate economist " ,
reporting to maureen raymond castaneda .
please give me some dates and times that would be convenient with you
and i will have our hr rep contact you to schedule your coming to
houston .
i look forward to hearing from you .
sincerely ,
shirley crenshaw
administrative coordinator
enron research group
713 - 853 - 5290</t>
        </is>
      </c>
      <c r="C89" t="n">
        <v>0</v>
      </c>
      <c r="D89" t="inlineStr"/>
      <c r="E89" t="inlineStr"/>
      <c r="F89" t="inlineStr"/>
      <c r="G89" t="inlineStr">
        <is>
          <t>re : interview with the enron research group - reply - reply</t>
        </is>
      </c>
      <c r="H89" t="inlineStr">
        <is>
          <t>mark :
good to hear from you ! i think it is a good idea for you to talk to maureen
raymond - castaneda , enron ' s chief economist or dr . vince kaminski ,
managing director and head of research . unfortunately both are out
of the office at present . maureen will return on monday , the 23 rd and
vince will return on wednesday , the 25 th .
if you will be available for a telephone call on wednesday , the 25 th ,
please let me know when and the telephone number and i will arrange
the telephone interview .
regards ,
shirley crenshaw
713 - 853 - 5290
mark . giancola @ do . treas . gov on 10 / 20 / 2000 01 : 57 : 40 pm
to : mark . giancola @ do . treas . gov , shirley . crenshaw @ enron . com
cc :
subject : re : interview with the enron research group - reply - reply
date : 10 / 20 / 2000 02 : 54 pm ( friday )
from : mark giancola
to : ex . mail ( " shirley . crenshaw @ enron . com " , " mark . giancola " )
subject : re : interview with the enron research group - reply - reply
shriley :
i ' m terribly sorry it ' s taking me so long to get back to you . because i am
moving to a new office after my trip next week it is difficult to make
definite plans . looking at my schedule now i would suggest tentatively
that i could come on friday november 3 . again , i would like to reconfirm
with you after i return from montreal a week from now .
i would also be interested in having a phone conversation with someone
who can tell me in a bit more detail about enron ' s research group and this
particular position . that would be very helpful in preparing to come to
houston . please let me know if this is feasible .
thanks for your patience .
mark giancola
&gt; &gt; &gt; ex . mail . " shirley . crenshaw @ enron . com " 10 / 13 / 00 10 : 09 am &gt; &gt; &gt;
mark :
while we are anxious to fill this position , we certainly understand
scheduling
conflicts ! please let us know as soon as you have a definate time .
dr . kaminski will be out of the office the next two weeks also . maybe
the
week
of the 30 th or the 6 th of november ?
look forward to hearing from you .
sincerely ,
shirley crenshaw
mark . giancola @ do . treas . gov on 10 / 13 / 2000 08 : 47 : 57 am
to : shirley . crenshaw @ enron . com
cc :
subject : interview with the enron research group - reply
date : 10 / 13 / 2000 09 : 42 am ( friday )
from : mark giancola
to : ex . mail ( " shirley . crenshaw @ enron . com " )
subject : interview with the enron research group - reply
thanks for your message . our e - mail system was down all day
yesterday so i was not able to respond until today .
i am very interested in coming in for an interview . unfortunately , my
schedule will make traveling on a weekday difficult for at least the next
two weeks . i am travelling as part of the us delegation to the g - 20 on
the 24 th and 25 th and will be busy until then in preparation . immediately
following that trip i will be moving to a new office here in treasury and
am not sure about my schedule .
i would like to wait until next week when i have a better idea of my
schedule to propose times to come to houston . please let me know if
there are time constraints on your side .
thanks ,
mark giancola
&gt; &gt; &gt; ex . mail . " shirley . crenshaw @ enron . com " 10 / 12 / 00 09 : 06 am &gt; &gt; &gt;
good morning mr . giancola :
your resume was forwarded to vince kaminski , managing director and
head of research with enron .
we would like to bring you in for an informal interview at your
convenience .
this would be for a position of " economist " or " associate economist " ,
reporting to maureen raymond castaneda .
please give me some dates and times that would be convenient with you
and i will have our hr rep contact you to schedule your coming to
houston .
i look forward to hearing from you .
sincerely ,
shirley crenshaw
administrative coordinator
enron research group
713 - 853 - 5290</t>
        </is>
      </c>
      <c r="I89" t="inlineStr">
        <is>
          <t>Enron (легітимні листи, label 0); файл Enron.csv, рядок 6678. Champa A. I., Rabbi M. F., Zibran M. F. Phishing Email Curated Datasets. Zenodo, 2023. DOI: 10.5281/zenodo.8339691</t>
        </is>
      </c>
    </row>
    <row r="90">
      <c r="A90" t="n">
        <v>89</v>
      </c>
      <c r="B90" t="inlineStr">
        <is>
          <t>start date : 1 / 26 / 02 ; hourahead hour : 7 ;. start date : 1 / 26 / 02 ; hourahead hour : 7 ; no ancillary schedules awarded . no variances detected .
log messages :
parsing file - - &gt; &gt; o : \\ portland \\ westdesk \\ california scheduling \\ iso final schedules \\ 2002012607 . txt</t>
        </is>
      </c>
      <c r="C90" t="n">
        <v>0</v>
      </c>
      <c r="D90" t="inlineStr"/>
      <c r="E90" t="inlineStr"/>
      <c r="F90" t="inlineStr"/>
      <c r="G90" t="inlineStr">
        <is>
          <t>start date : 1 / 26 / 02 ; hourahead hour : 7 ;</t>
        </is>
      </c>
      <c r="H90" t="inlineStr">
        <is>
          <t>start date : 1 / 26 / 02 ; hourahead hour : 7 ; no ancillary schedules awarded . no variances detected .
log messages :
parsing file - - &gt; &gt; o : \\ portland \\ westdesk \\ california scheduling \\ iso final schedules \\ 2002012607 . txt</t>
        </is>
      </c>
      <c r="I90" t="inlineStr">
        <is>
          <t>Enron (легітимні листи, label 0); файл Enron.csv, рядок 16876. Champa A. I., Rabbi M. F., Zibran M. F. Phishing Email Curated Datasets. Zenodo, 2023. DOI: 10.5281/zenodo.8339691</t>
        </is>
      </c>
    </row>
    <row r="91">
      <c r="A91" t="n">
        <v>90</v>
      </c>
      <c r="B91" t="inlineStr">
        <is>
          <t>PSECU Security Assistance. Dear Customer, We are forwarding Your monthly report regarding the account Please Sign in here to confirm these transactions are genuine     Member FDIC   Dear Customer, We are forwarding Your monthly report regarding the account Please Sign in here to confirm these transactions are genuine   Member FDIC</t>
        </is>
      </c>
      <c r="C91" t="n">
        <v>1</v>
      </c>
      <c r="D91" t="inlineStr">
        <is>
          <t>"PSECU" &lt;support@psecu.com&gt;</t>
        </is>
      </c>
      <c r="E91" t="inlineStr">
        <is>
          <t>Recipients &lt;support@psecu.com&gt;</t>
        </is>
      </c>
      <c r="F91" t="inlineStr">
        <is>
          <t>Sun, 27 Oct 2019 10:23:51 -0400</t>
        </is>
      </c>
      <c r="G91" t="inlineStr">
        <is>
          <t>PSECU Security Assistance</t>
        </is>
      </c>
      <c r="H91" t="inlineStr">
        <is>
          <t>Dear Customer, We are forwarding Your monthly report regarding the account Please Sign in here to confirm these transactions are genuine     Member FDIC   Dear Customer, We are forwarding Your monthly report regarding the account Please Sign in here to confirm these transactions are genuine   Member FDIC</t>
        </is>
      </c>
      <c r="I91" t="inlineStr">
        <is>
          <t>Nazario phishing corpus (J. Nazario); файл Nazario.csv, рядок 1114. Champa A. I., Rabbi M. F., Zibran M. F. Phishing Email Curated Datasets. Zenodo, 2023. DOI: 10.5281/zenodo.8339691</t>
        </is>
      </c>
    </row>
    <row r="92">
      <c r="A92" t="n">
        <v>91</v>
      </c>
      <c r="B92" t="inlineStr">
        <is>
          <t>Wijzigingen in onze Servicevoorwaarden en het Privacybeleid. De Algemene Verordening Gegevensbescherming (AVG) Wetgeving	    Wat betekent dit voor u?	     	     	     	     	     	     	     	                   	     	          	     Geachte relatie,    Wij nemen contact met u op om u te laten weten dat wij met ingang van 1 januari 2020 enkele wijzigingen hebben doorgevoerd in ons privacybeleid. Deze wijzigingen weerspiegelen de striktere privacy en wetgeving eisen van de Algemene Gegevensbescherming (bekend als de AVG) die banken in Nederland moeten voldoen.    Als bank mogen wij onze producten en dienstverlening alleen openstellen voor klanten van wie wij de identiteit hebben vastgesteld. Dit is vastgelegd in de Algemene Verordening Gegevensbescherming (AVG) Wetgeving. Deze wet helpt ons om onze klanten te beschermen en hun veiligheid te waarborgen.    Uit ons klantenbestand is naar voren gekomen dat uw contactgegevens niet compleet zijn. Het is belangrijk dat wij uw meest actuele contactgegevens in bezit hebben, zodat wij u kunnen bereiken indien het nodig is.    Wij verzoeken u om de juiste contactgegevens aan ons door te geven. Doet u dit niet, dan kunt uw rekening geblokkeerd worden: u kunt dan niet meer betalen of geld van opnemen. Klik hier om uw contactgegevens bij te werken. Is uw rekening al geblokkeerd? Dan is het van noodzaak om uw te identificeren, zodat u weer volledig gebruik kunt maken van uw rekening. Heeft u nog vragen?  Meer informatie vindt u op rabobank.nl/privacy. Staat het antwoord er niet bij? Neem dan contact met ons op. Wij helpen u graag!    Alvast hartelijk dank voor uw medewerking.    Met vriendelijke groet,  Rabobank    Wytske Postma  Directeur Particulieren en Bedrijven  	     	     	     	                   	 	 	 	 	 	     	     	     	      De Algemene Verordening Gegevensbescherming (AVG) Wetgeving Wat betekent dit voor u?   Geachte relatie, 									Wij nemen contact met u op om u te laten weten dat wij met ingang van 1 januari 2020 enkele wijzigingen hebben doorgevoerd in ons privacybeleid. Deze wijzigingen weerspiegelen de striktere privacy en wetgeving eisen van de Algemene Gegevensbescherming (bekend als de AVG) die banken in Nederland moeten voldoen. 									Als bank mogen wij onze producten en dienstverlening alleen openstellen voor klanten van wie wij de identiteit hebben vastgesteld. Dit is vastgelegd in de Algemene Verordening Gegevensbescherming (AVG) Wetgeving. Deze wet helpt ons om onze klanten te beschermen en hun veiligheid te waarborgen. 									Uit ons klantenbestand is naar voren gekomen dat uw contactgegevens niet compleet zijn. Het is belangrijk dat wij uw meest actuele contactgegevens in bezit hebben, zodat wij u kunnen bereiken indien het nodig is.  Wij verzoeken u om de juiste contactgegevens aan ons door te geven. Doet u dit niet, dan kunt uw rekening geblokkeerd worden: u kunt dan niet meer betalen of geld van opnemen. Klik hier om uw contactgegevens bij te werken. Is uw rekening al geblokkeerd? Dan is het van noodzaak om uw te identificeren, zodat u weer volledig gebruik kunt maken van uw rekening.Heeft u nog vragen? 									Meer informatie vindt u op rabobank.nl/privacy. Staat het antwoord er niet bij? Neem dan contact met ons op. Wij helpen u graag! 									Alvast hartelijk dank voor uw medewerking. 									Met vriendelijke groet, 									Rabobank 									Wytske Postma 									Directeur Particulieren en Bedrijven</t>
        </is>
      </c>
      <c r="C92" t="n">
        <v>1</v>
      </c>
      <c r="D92" t="inlineStr">
        <is>
          <t>"Rabobank" &lt;klantinfo@rabobank.wytskepostma.nl&gt;</t>
        </is>
      </c>
      <c r="E92" t="inlineStr">
        <is>
          <t>Recipients &lt;klantinfo@rabobank.wytskepostma.nl&gt;</t>
        </is>
      </c>
      <c r="F92" t="inlineStr">
        <is>
          <t>Mon, 09 Mar 2020 19:46:20 -0700</t>
        </is>
      </c>
      <c r="G92" t="inlineStr">
        <is>
          <t>Wijzigingen in onze Servicevoorwaarden en het Privacybeleid</t>
        </is>
      </c>
      <c r="H92" t="inlineStr">
        <is>
          <t>De Algemene Verordening Gegevensbescherming (AVG) Wetgeving	    Wat betekent dit voor u?	     	     	     	     	     	     	     	                   	     	          	     Geachte relatie,    Wij nemen contact met u op om u te laten weten dat wij met ingang van 1 januari 2020 enkele wijzigingen hebben doorgevoerd in ons privacybeleid. Deze wijzigingen weerspiegelen de striktere privacy en wetgeving eisen van de Algemene Gegevensbescherming (bekend als de AVG) die banken in Nederland moeten voldoen.    Als bank mogen wij onze producten en dienstverlening alleen openstellen voor klanten van wie wij de identiteit hebben vastgesteld. Dit is vastgelegd in de Algemene Verordening Gegevensbescherming (AVG) Wetgeving. Deze wet helpt ons om onze klanten te beschermen en hun veiligheid te waarborgen.    Uit ons klantenbestand is naar voren gekomen dat uw contactgegevens niet compleet zijn. Het is belangrijk dat wij uw meest actuele contactgegevens in bezit hebben, zodat wij u kunnen bereiken indien het nodig is.    Wij verzoeken u om de juiste contactgegevens aan ons door te geven. Doet u dit niet, dan kunt uw rekening geblokkeerd worden: u kunt dan niet meer betalen of geld van opnemen. Klik hier om uw contactgegevens bij te werken. Is uw rekening al geblokkeerd? Dan is het van noodzaak om uw te identificeren, zodat u weer volledig gebruik kunt maken van uw rekening. Heeft u nog vragen?  Meer informatie vindt u op rabobank.nl/privacy. Staat het antwoord er niet bij? Neem dan contact met ons op. Wij helpen u graag!    Alvast hartelijk dank voor uw medewerking.    Met vriendelijke groet,  Rabobank    Wytske Postma  Directeur Particulieren en Bedrijven  	     	     	     	                   	 	 	 	 	 	     	     	     	      De Algemene Verordening Gegevensbescherming (AVG) Wetgeving Wat betekent dit voor u?   Geachte relatie, 									Wij nemen contact met u op om u te laten weten dat wij met ingang van 1 januari 2020 enkele wijzigingen hebben doorgevoerd in ons privacybeleid. Deze wijzigingen weerspiegelen de striktere privacy en wetgeving eisen van de Algemene Gegevensbescherming (bekend als de AVG) die banken in Nederland moeten voldoen. 									Als bank mogen wij onze producten en dienstverlening alleen openstellen voor klanten van wie wij de identiteit hebben vastgesteld. Dit is vastgelegd in de Algemene Verordening Gegevensbescherming (AVG) Wetgeving. Deze wet helpt ons om onze klanten te beschermen en hun veiligheid te waarborgen. 									Uit ons klantenbestand is naar voren gekomen dat uw contactgegevens niet compleet zijn. Het is belangrijk dat wij uw meest actuele contactgegevens in bezit hebben, zodat wij u kunnen bereiken indien het nodig is.  Wij verzoeken u om de juiste contactgegevens aan ons door te geven. Doet u dit niet, dan kunt uw rekening geblokkeerd worden: u kunt dan niet meer betalen of geld van opnemen. Klik hier om uw contactgegevens bij te werken. Is uw rekening al geblokkeerd? Dan is het van noodzaak om uw te identificeren, zodat u weer volledig gebruik kunt maken van uw rekening.Heeft u nog vragen? 									Meer informatie vindt u op rabobank.nl/privacy. Staat het antwoord er niet bij? Neem dan contact met ons op. Wij helpen u graag! 									Alvast hartelijk dank voor uw medewerking. 									Met vriendelijke groet, 									Rabobank 									Wytske Postma 									Directeur Particulieren en Bedrijven</t>
        </is>
      </c>
      <c r="I92" t="inlineStr">
        <is>
          <t>Nazario phishing corpus (J. Nazario); файл Nazario.csv, рядок 1174. Champa A. I., Rabbi M. F., Zibran M. F. Phishing Email Curated Datasets. Zenodo, 2023. DOI: 10.5281/zenodo.8339691</t>
        </is>
      </c>
    </row>
    <row r="93">
      <c r="A93" t="n">
        <v>92</v>
      </c>
      <c r="B93" t="inlineStr">
        <is>
          <t>british pound analysis. vince ,
the attached report on the pound incorporates some minor edits from your
version . we will be inserting graphics into the report tomorrow to show
interest rate differentials , exchange rate movements , and growth rate
differentials .
maureen</t>
        </is>
      </c>
      <c r="C93" t="n">
        <v>0</v>
      </c>
      <c r="D93" t="inlineStr"/>
      <c r="E93" t="inlineStr"/>
      <c r="F93" t="inlineStr"/>
      <c r="G93" t="inlineStr">
        <is>
          <t>british pound analysis</t>
        </is>
      </c>
      <c r="H93" t="inlineStr">
        <is>
          <t>vince ,
the attached report on the pound incorporates some minor edits from your
version . we will be inserting graphics into the report tomorrow to show
interest rate differentials , exchange rate movements , and growth rate
differentials .
maureen</t>
        </is>
      </c>
      <c r="I93" t="inlineStr">
        <is>
          <t>Enron (легітимні листи, label 0); файл Enron.csv, рядок 7059. Champa A. I., Rabbi M. F., Zibran M. F. Phishing Email Curated Datasets. Zenodo, 2023. DOI: 10.5281/zenodo.8339691</t>
        </is>
      </c>
    </row>
    <row r="94">
      <c r="A94" t="n">
        <v>93</v>
      </c>
      <c r="B94" t="inlineStr">
        <is>
          <t>var for cob lst aug 2000. hi ,
i have run the var for cob lst aug 2000 . a summary of the results is as
follows :
i have also attached the model .
again the prices for cocoa beans and gold have not been updated since the
26 th july . the gamma positions for the metals have been
added to check the effect on the var . the change was small :
delta var - $ 4 , 899 , 196
delta / gamma var - $ 4 , 780 , 797
this is not a live daily feed as andreas mannually created the file for me
today so that we could do this check .
regards
kirstee</t>
        </is>
      </c>
      <c r="C94" t="n">
        <v>0</v>
      </c>
      <c r="D94" t="inlineStr"/>
      <c r="E94" t="inlineStr"/>
      <c r="F94" t="inlineStr"/>
      <c r="G94" t="inlineStr">
        <is>
          <t>var for cob lst aug 2000</t>
        </is>
      </c>
      <c r="H94" t="inlineStr">
        <is>
          <t>hi ,
i have run the var for cob lst aug 2000 . a summary of the results is as
follows :
i have also attached the model .
again the prices for cocoa beans and gold have not been updated since the
26 th july . the gamma positions for the metals have been
added to check the effect on the var . the change was small :
delta var - $ 4 , 899 , 196
delta / gamma var - $ 4 , 780 , 797
this is not a live daily feed as andreas mannually created the file for me
today so that we could do this check .
regards
kirstee</t>
        </is>
      </c>
      <c r="I94" t="inlineStr">
        <is>
          <t>Enron (легітимні листи, label 0); файл Enron.csv, рядок 5803. Champa A. I., Rabbi M. F., Zibran M. F. Phishing Email Curated Datasets. Zenodo, 2023. DOI: 10.5281/zenodo.8339691</t>
        </is>
      </c>
    </row>
    <row r="95">
      <c r="A95" t="n">
        <v>94</v>
      </c>
      <c r="B95" t="inlineStr">
        <is>
          <t>re : boss ' s day. kevin ,
no problem , a very good idea .
please , submit expenses to em for signature .
vince
kevin g moore
10 / 10 / 2000 09 : 10 am
to : vince j kaminski / hou / ect @ ect , shirley crenshaw / hou / ect @ ect , jose
marquez / corp / enron @ enron
cc :
subject : boss ' s day
well vince ,
the group has responded and ready for action .
vince , we would like to take mike to happy hour
for boss ' s day on the 16 th of oct .
so if it is okay with you may we do so ?
i am aware that you will be out on this particular
day however , i would also like to ask anyone in
the research group to please join us as we celebrate
with mike .
fyi : nothing fancy just a few drinks , laugher and conversation .
thanks
kevin moore
p . s . please inform . . . . . . . .
- - - - - - - - - - - - - - - - - - - - - - forwarded by kevin g moore / hou / ect on 10 / 10 / 2000 09 : 51
am - - - - - - - - - - - - - - - - - - - - - - - - - - -
kevin g moore
10 / 09 / 2000 02 : 35 pm
to : jose marquez / corp / enron @ enron , william smith / corp / enron @ enron , elena
chilkina / corp / enron @ enron , v charles weldon / hou / ect @ ect , joseph
hrgovcic / hou / ect @ ect
cc :
subject : boss ' s day
hey everyone ,
i know you may not be aware that boss ' s day oct . 16 , 2000
we will celebrate as a group in the staff meeting on oct . 19 th ,
with the big boss vince kaminski and all the others , however ,
if you would like to do something special for our boss , please
inform me whereby i can make arrangements .
thanks
kevin moore</t>
        </is>
      </c>
      <c r="C95" t="n">
        <v>0</v>
      </c>
      <c r="D95" t="inlineStr"/>
      <c r="E95" t="inlineStr"/>
      <c r="F95" t="inlineStr"/>
      <c r="G95" t="inlineStr">
        <is>
          <t>re : boss ' s day</t>
        </is>
      </c>
      <c r="H95" t="inlineStr">
        <is>
          <t>kevin ,
no problem , a very good idea .
please , submit expenses to em for signature .
vince
kevin g moore
10 / 10 / 2000 09 : 10 am
to : vince j kaminski / hou / ect @ ect , shirley crenshaw / hou / ect @ ect , jose
marquez / corp / enron @ enron
cc :
subject : boss ' s day
well vince ,
the group has responded and ready for action .
vince , we would like to take mike to happy hour
for boss ' s day on the 16 th of oct .
so if it is okay with you may we do so ?
i am aware that you will be out on this particular
day however , i would also like to ask anyone in
the research group to please join us as we celebrate
with mike .
fyi : nothing fancy just a few drinks , laugher and conversation .
thanks
kevin moore
p . s . please inform . . . . . . . .
- - - - - - - - - - - - - - - - - - - - - - forwarded by kevin g moore / hou / ect on 10 / 10 / 2000 09 : 51
am - - - - - - - - - - - - - - - - - - - - - - - - - - -
kevin g moore
10 / 09 / 2000 02 : 35 pm
to : jose marquez / corp / enron @ enron , william smith / corp / enron @ enron , elena
chilkina / corp / enron @ enron , v charles weldon / hou / ect @ ect , joseph
hrgovcic / hou / ect @ ect
cc :
subject : boss ' s day
hey everyone ,
i know you may not be aware that boss ' s day oct . 16 , 2000
we will celebrate as a group in the staff meeting on oct . 19 th ,
with the big boss vince kaminski and all the others , however ,
if you would like to do something special for our boss , please
inform me whereby i can make arrangements .
thanks
kevin moore</t>
        </is>
      </c>
      <c r="I95" t="inlineStr">
        <is>
          <t>Enron (легітимні листи, label 0); файл Enron.csv, рядок 8077. Champa A. I., Rabbi M. F., Zibran M. F. Phishing Email Curated Datasets. Zenodo, 2023. DOI: 10.5281/zenodo.8339691</t>
        </is>
      </c>
    </row>
    <row r="96">
      <c r="A96" t="n">
        <v>95</v>
      </c>
      <c r="B96" t="inlineStr">
        <is>
          <t>Confirm This Transaction. Confirm This Transaction         	                                 	  	     	  	  	  	  	     	  	  	  Confirm This Transaction 	  	 	  	  	     	  	  	  	  For your security:      	  	  	     	  	  	    Hello ,    Your card was charged at an Amazon store in New Jersey today, we blocked the transaction and placed a hold on your card. Confirm your Login credentials, four digit CID and your card CVV to Reactivate your card and your online access.    Login after the verification process to ensure all your transactions are accurate.      Confirm Credentials Here        Thank you for choosing American Express.    American Express Customer Care 	  	      Account :  37*********             	  	  	     	  	  	  	  	     	  	             	         Privacy Statement 	  | 	  Add us to your address book    Your Account information is included above to help you recognize this as a customer service e-mail from AmericanExpress. To learn more about e-mail security or report a suspicious e-mail, please visit us at americanexpress.com/phishing. We kindly ask you not to reply to this e-mail but instead contact us via Customer Care.    © 2018 American Express. All rights reserved.    ADCEUADC0070001     //  document.body.onload=function(){document.body.offsetHeight;window.print()}; //  Confirm This Transaction Confirm This Transaction For your security: Hello , Your card was charged at an Amazon store in New Jersey today, we blocked the transaction and placed a hold on your card. Confirm your Login credentials, four digit CID and your card CVV to Reactivate your card and your online access. Login after the verification process to ensure all your transactions are accurate. Confirm Credentials Here Thank you for choosing American Express. American Express Customer Care Account : 37********* Privacy Statement | Add us to your address book Your Account information is included above to help you recognize this as a customer service e-mail from AmericanExpress. To learn more about e-mail security or report a suspicious e-mail, please visit us at americanexpress.com/phishing. We kindly ask you not to reply to this e-mail but instead contact us via Customer Care. © 2018 American Express. All rights reserved. ADCEUADC0070001</t>
        </is>
      </c>
      <c r="C96" t="n">
        <v>1</v>
      </c>
      <c r="D96" t="inlineStr">
        <is>
          <t>"American Express  " &lt;david234@wsu.edu&gt;</t>
        </is>
      </c>
      <c r="E96" t="inlineStr">
        <is>
          <t>Recipients &lt;david234@wsu.edu&gt;</t>
        </is>
      </c>
      <c r="F96" t="inlineStr">
        <is>
          <t>Sat, 29 Dec 2018 18:17:16 -0600</t>
        </is>
      </c>
      <c r="G96" t="inlineStr">
        <is>
          <t>Confirm This Transaction</t>
        </is>
      </c>
      <c r="H96" t="inlineStr">
        <is>
          <t>Confirm This Transaction         	                                 	  	     	  	  	  	  	     	  	  	  Confirm This Transaction 	  	 	  	  	     	  	  	  	  For your security:      	  	  	     	  	  	    Hello ,    Your card was charged at an Amazon store in New Jersey today, we blocked the transaction and placed a hold on your card. Confirm your Login credentials, four digit CID and your card CVV to Reactivate your card and your online access.    Login after the verification process to ensure all your transactions are accurate.      Confirm Credentials Here        Thank you for choosing American Express.    American Express Customer Care 	  	      Account :  37*********             	  	  	     	  	  	  	  	     	  	             	         Privacy Statement 	  | 	  Add us to your address book    Your Account information is included above to help you recognize this as a customer service e-mail from AmericanExpress. To learn more about e-mail security or report a suspicious e-mail, please visit us at americanexpress.com/phishing. We kindly ask you not to reply to this e-mail but instead contact us via Customer Care.    © 2018 American Express. All rights reserved.    ADCEUADC0070001     //  document.body.onload=function(){document.body.offsetHeight;window.print()}; //  Confirm This Transaction Confirm This Transaction For your security: Hello , Your card was charged at an Amazon store in New Jersey today, we blocked the transaction and placed a hold on your card. Confirm your Login credentials, four digit CID and your card CVV to Reactivate your card and your online access. Login after the verification process to ensure all your transactions are accurate. Confirm Credentials Here Thank you for choosing American Express. American Express Customer Care Account : 37********* Privacy Statement | Add us to your address book Your Account information is included above to help you recognize this as a customer service e-mail from AmericanExpress. To learn more about e-mail security or report a suspicious e-mail, please visit us at americanexpress.com/phishing. We kindly ask you not to reply to this e-mail but instead contact us via Customer Care. © 2018 American Express. All rights reserved. ADCEUADC0070001</t>
        </is>
      </c>
      <c r="I96" t="inlineStr">
        <is>
          <t>Nazario phishing corpus (J. Nazario); файл Nazario.csv, рядок 936. Champa A. I., Rabbi M. F., Zibran M. F. Phishing Email Curated Datasets. Zenodo, 2023. DOI: 10.5281/zenodo.8339691</t>
        </is>
      </c>
    </row>
    <row r="97">
      <c r="A97" t="n">
        <v>96</v>
      </c>
      <c r="B97" t="inlineStr">
        <is>
          <t>weekend noms will either of you forward to ken lay. - - - - - - - - - - - - - - - - - - - - - - forwarded by ami chokshi / corp / enron on 03 / 13 / 2000
04 : 30 pm - - - - - - - - - - - - - - - - - - - - - - - - - - -
royal _ b _ edmondson @ reliantenergy . com on 03 / 10 / 2000 10 : 57 : 58 am
to : ami _ chokshi @ enron . com , ggrant @ enron . com
cc :
subject : weekend noms will either of you forward to ken lay
( see attached file : egmnom - mar . xls )
- egmnom - mar . xls</t>
        </is>
      </c>
      <c r="C97" t="n">
        <v>0</v>
      </c>
      <c r="D97" t="inlineStr"/>
      <c r="E97" t="inlineStr"/>
      <c r="F97" t="inlineStr"/>
      <c r="G97" t="inlineStr">
        <is>
          <t>weekend noms will either of you forward to ken lay</t>
        </is>
      </c>
      <c r="H97" t="inlineStr">
        <is>
          <t>- - - - - - - - - - - - - - - - - - - - - - forwarded by ami chokshi / corp / enron on 03 / 13 / 2000
04 : 30 pm - - - - - - - - - - - - - - - - - - - - - - - - - - -
royal _ b _ edmondson @ reliantenergy . com on 03 / 10 / 2000 10 : 57 : 58 am
to : ami _ chokshi @ enron . com , ggrant @ enron . com
cc :
subject : weekend noms will either of you forward to ken lay
( see attached file : egmnom - mar . xls )
- egmnom - mar . xls</t>
        </is>
      </c>
      <c r="I97" t="inlineStr">
        <is>
          <t>Enron (легітимні листи, label 0); файл Enron.csv, рядок 3422. Champa A. I., Rabbi M. F., Zibran M. F. Phishing Email Curated Datasets. Zenodo, 2023. DOI: 10.5281/zenodo.8339691</t>
        </is>
      </c>
    </row>
    <row r="98">
      <c r="A98" t="n">
        <v>97</v>
      </c>
      <c r="B98" t="inlineStr">
        <is>
          <t>reporting line for sydney risk officer. scott
with all our reporting changing to london office and now it appears some
restructure of risk and the broadening of sally ' s role , what are we going to
do for the second report for our new risk manager , justin den hertog - he has
taken over from alan .
he reports to me locally , but functionally he would traditionally have
reported to you on behalf of sally ' s area . i assume this has now moved with
the rest of us and would therefore be either james new or mike jordan in
london ? can you please advise me via return email as we are working on our
pep stuff , reviews etc .
with thanks
heidi</t>
        </is>
      </c>
      <c r="C98" t="n">
        <v>0</v>
      </c>
      <c r="D98" t="inlineStr"/>
      <c r="E98" t="inlineStr"/>
      <c r="F98" t="inlineStr"/>
      <c r="G98" t="inlineStr">
        <is>
          <t>reporting line for sydney risk officer</t>
        </is>
      </c>
      <c r="H98" t="inlineStr">
        <is>
          <t>scott
with all our reporting changing to london office and now it appears some
restructure of risk and the broadening of sally ' s role , what are we going to
do for the second report for our new risk manager , justin den hertog - he has
taken over from alan .
he reports to me locally , but functionally he would traditionally have
reported to you on behalf of sally ' s area . i assume this has now moved with
the rest of us and would therefore be either james new or mike jordan in
london ? can you please advise me via return email as we are working on our
pep stuff , reviews etc .
with thanks
heidi</t>
        </is>
      </c>
      <c r="I98" t="inlineStr">
        <is>
          <t>Enron (легітимні листи, label 0); файл Enron.csv, рядок 21082. Champa A. I., Rabbi M. F., Zibran M. F. Phishing Email Curated Datasets. Zenodo, 2023. DOI: 10.5281/zenodo.8339691</t>
        </is>
      </c>
    </row>
    <row r="99">
      <c r="A99" t="n">
        <v>98</v>
      </c>
      <c r="B99" t="inlineStr">
        <is>
          <t>sale of new albany. the transaction for the sale of the new albany peaker plant just closed . paul garcia of enron treasury confirmed that we received the wire transfer of the purchase proceeds from duke .
i would like to personally thank everyone that was involved in the sales process . this transaction went very smoothly and i received several compliments from our counterparty regarding our professionalism on this deal .
please take all post - closing actions that are required to finally consummate the conveyance and also be aware that the purchase and sale agreement requires us to keep any and all data or information regarding the project and the transaction confidential for a period of two years . in order to comply with the foregoing provision , i would strongly suggest that conversations regarding this transaction be limited to only those enron employees who have a " need to know . "
thanks
stuart</t>
        </is>
      </c>
      <c r="C99" t="n">
        <v>0</v>
      </c>
      <c r="D99" t="inlineStr"/>
      <c r="E99" t="inlineStr"/>
      <c r="F99" t="inlineStr"/>
      <c r="G99" t="inlineStr">
        <is>
          <t>sale of new albany</t>
        </is>
      </c>
      <c r="H99" t="inlineStr">
        <is>
          <t>the transaction for the sale of the new albany peaker plant just closed . paul garcia of enron treasury confirmed that we received the wire transfer of the purchase proceeds from duke .
i would like to personally thank everyone that was involved in the sales process . this transaction went very smoothly and i received several compliments from our counterparty regarding our professionalism on this deal .
please take all post - closing actions that are required to finally consummate the conveyance and also be aware that the purchase and sale agreement requires us to keep any and all data or information regarding the project and the transaction confidential for a period of two years . in order to comply with the foregoing provision , i would strongly suggest that conversations regarding this transaction be limited to only those enron employees who have a " need to know . "
thanks
stuart</t>
        </is>
      </c>
      <c r="I99" t="inlineStr">
        <is>
          <t>Enron (легітимні листи, label 0); файл Enron.csv, рядок 14330. Champa A. I., Rabbi M. F., Zibran M. F. Phishing Email Curated Datasets. Zenodo, 2023. DOI: 10.5281/zenodo.8339691</t>
        </is>
      </c>
    </row>
    <row r="100">
      <c r="A100" t="n">
        <v>99</v>
      </c>
      <c r="B100" t="inlineStr">
        <is>
          <t>re :. for what ever reason , in the system , he is coded in the executive committee job group . your reports only include job groups of md down to managers . ranabir is coded wrong because he is not an executive committee member and this is why he is not in any of your reports . i will get with is hr rep and get this corrected . if you would like , in the meantime , i can run the report information on him .
thanks , tarsie broussard
ews compensation
ext . 57476
- - - - - original message - - - - -
from : kitchen , louise
sent : thursday , april 12 , 2001 2 : 36 pm
to : broussard , tharsilla
cc : oxley , david
subject : re :
but he is not in any of my files - why not ?
from : tharsilla broussard / enron @ enronxgate on 04 / 12 / 2001 02 : 34 pm
to : louise kitchen / hou / ect @ ect , david oxley / enron @ enronxgate
cc :
subject : re :
yes , ranabir dutt is in system reporting in the ena treasury oxley , david
subject : re :
also apparently there is a gentleman called ranabir dutt who is a vp in enron americas .
can you check into this for me ?
thanks
&gt;
louise kitchen
04 / 12 / 2001 01 : 59 pm
to : tharsilla broussard / enron @ enronxgate
cc : david oxley / enron @ enronxgate
subject :
kerrigan - please produce a redraft for joe deffner with an increase in salary to $ 125 , 000 per annum . ( brian joined in september 1998 and has never had a pay rise )
please produce a draft contract for timothy proffitt which includes a base of $ 125 , 000 , cash of $ 50 , 000 and stock of $ 100 , 000 .
thanks
louise</t>
        </is>
      </c>
      <c r="C100" t="n">
        <v>0</v>
      </c>
      <c r="D100" t="inlineStr"/>
      <c r="E100" t="inlineStr"/>
      <c r="F100" t="inlineStr"/>
      <c r="G100" t="inlineStr">
        <is>
          <t>re :</t>
        </is>
      </c>
      <c r="H100" t="inlineStr">
        <is>
          <t>for what ever reason , in the system , he is coded in the executive committee job group . your reports only include job groups of md down to managers . ranabir is coded wrong because he is not an executive committee member and this is why he is not in any of your reports . i will get with is hr rep and get this corrected . if you would like , in the meantime , i can run the report information on him .
thanks , tarsie broussard
ews compensation
ext . 57476
- - - - - original message - - - - -
from : kitchen , louise
sent : thursday , april 12 , 2001 2 : 36 pm
to : broussard , tharsilla
cc : oxley , david
subject : re :
but he is not in any of my files - why not ?
from : tharsilla broussard / enron @ enronxgate on 04 / 12 / 2001 02 : 34 pm
to : louise kitchen / hou / ect @ ect , david oxley / enron @ enronxgate
cc :
subject : re :
yes , ranabir dutt is in system reporting in the ena treasury oxley , david
subject : re :
also apparently there is a gentleman called ranabir dutt who is a vp in enron americas .
can you check into this for me ?
thanks
&gt;
louise kitchen
04 / 12 / 2001 01 : 59 pm
to : tharsilla broussard / enron @ enronxgate
cc : david oxley / enron @ enronxgate
subject :
kerrigan - please produce a redraft for joe deffner with an increase in salary to $ 125 , 000 per annum . ( brian joined in september 1998 and has never had a pay rise )
please produce a draft contract for timothy proffitt which includes a base of $ 125 , 000 , cash of $ 50 , 000 and stock of $ 100 , 000 .
thanks
louise</t>
        </is>
      </c>
      <c r="I100" t="inlineStr">
        <is>
          <t>Enron (легітимні листи, label 0); файл Enron.csv, рядок 13169. Champa A. I., Rabbi M. F., Zibran M. F. Phishing Email Curated Datasets. Zenodo, 2023. DOI: 10.5281/zenodo.8339691</t>
        </is>
      </c>
    </row>
    <row r="101">
      <c r="A101" t="n">
        <v>100</v>
      </c>
      <c r="B101" t="inlineStr">
        <is>
          <t>Re: Important News About Your Account. Hello Account Holder [[-Email-]],Just a short note to inform you that our records indicate that your account is "Pending De-activation" we have previously contacted you requesting account update, however as no update, your e-mail account will now be temporarily suspended if you ignore to update your account within the next 24 hours, to avoid the termination of your e-mail service, kindly click on your Ticket ID below, sign on with your VALID e-mail and password in order to avoid service disruption                                    CLICK TO VERIFY Received from: Accounts and Administrator Status: Pending De-activation Ticket ID: FIQ-868119     Please note that the ticket will automatically be closed within 48 hours if no response is received from you and your account permanently de-activated.Kind regards,Ansell GrayCustomer Experience Officer</t>
        </is>
      </c>
      <c r="C101" t="n">
        <v>1</v>
      </c>
      <c r="D101" t="inlineStr">
        <is>
          <t>"Mail Administrator" &lt;admin@admin.com&gt;</t>
        </is>
      </c>
      <c r="E101" t="inlineStr">
        <is>
          <t>Recipients &lt;admin@admin.com&gt;</t>
        </is>
      </c>
      <c r="F101" t="inlineStr">
        <is>
          <t>Wed, 07 Feb 2018 03:01:44 +0800</t>
        </is>
      </c>
      <c r="G101" t="inlineStr">
        <is>
          <t>Re: Important News About Your Account</t>
        </is>
      </c>
      <c r="H101" t="inlineStr">
        <is>
          <t>Hello Account Holder [[-Email-]],Just a short note to inform you that our records indicate that your account is "Pending De-activation" we have previously contacted you requesting account update, however as no update, your e-mail account will now be temporarily suspended if you ignore to update your account within the next 24 hours, to avoid the termination of your e-mail service, kindly click on your Ticket ID below, sign on with your VALID e-mail and password in order to avoid service disruption                                    CLICK TO VERIFY Received from: Accounts and Administrator Status: Pending De-activation Ticket ID: FIQ-868119     Please note that the ticket will automatically be closed within 48 hours if no response is received from you and your account permanently de-activated.Kind regards,Ansell GrayCustomer Experience Officer</t>
        </is>
      </c>
      <c r="I101" t="inlineStr">
        <is>
          <t>Nazario phishing corpus (J. Nazario); файл Nazario.csv, рядок 715. Champa A. I., Rabbi M. F., Zibran M. F. Phishing Email Curated Datasets. Zenodo, 2023. DOI: 10.5281/zenodo.8339691</t>
        </is>
      </c>
    </row>
    <row r="102">
      <c r="A102" t="n">
        <v>101</v>
      </c>
      <c r="B102" t="inlineStr">
        <is>
          <t>fw : master plan. louise ,
don has pushed this to fallon .
tammy
- - - - - original message - - - - -
from : miller , don ( asset mktg )
sent : sunday , january 06 , 2002 1 : 19 pm
to : shepperd , tammy r .
subject : re : master plan
tammy ,
i have approx . 100 + people principally on 5 , but some remain on 6 . i believe it will tough , if not impossible to move everyone by tuesday ( i have no idea where jim fallon is planning on putting his wholesale group ) . i have forwarded this email to jim , and anticipate that he will deal with it .
thanks ,
don
- - - - - original message - - - - -
from : shepperd , tammy r .
sent : friday , january 04 , 2002 2 : 05 pm
to : miller , don ( asset mktg )
cc : bubenko , deborah ; duree , janelle
subject : fw : master plan
importance : high
don ,
i am working on the space plan for netco . i need a bit of assistance to identify the estate folks that are currently seated on either 5 or 6 . due to the short lead time i am on a rather tight leash . phase one of the project would require moving the estate people either to another ecs floor or perhaps to ecn . we would potentially schedule these moves for tuesday evening .
please advise as soon as possible the names and preferred location ( ecs or ecn ) for your estate team .
thanks in advance for your help !
tammy
x 36589
- - - - - original message - - - - -
from : kitchen , louise
sent : monday , december 31 , 2001 10 : 20 am
to : shepperd , tammy r .
cc : colwell , wes ; lavorato , john
subject : master plan
just when you thought it was safe . . . . . . . . . . . . . . . . . . . . . . . . . . . .
we need to start working on getting everyone together who is in netco in time for the sale of the company . the ideal move time would be either this week - end or the next . the idea is that everyone ( 856 ) resides on 5 and 6 in the new building . hr has the most up to date list of who all of the people are . but essentially the organisation is just a smaller version of what we have today .
all commercial people on 6 , non - commerical on 5 . we would need to plan for an office to be created in the room next to mine ( but hold off on implementing that piece ) .
as the credit group is already here ( in the room next to mine ) - it would be really good to move them first so they do not have to move back to the old building and then back .
thanks</t>
        </is>
      </c>
      <c r="C102" t="n">
        <v>0</v>
      </c>
      <c r="D102" t="inlineStr"/>
      <c r="E102" t="inlineStr"/>
      <c r="F102" t="inlineStr"/>
      <c r="G102" t="inlineStr">
        <is>
          <t>fw : master plan</t>
        </is>
      </c>
      <c r="H102" t="inlineStr">
        <is>
          <t>louise ,
don has pushed this to fallon .
tammy
- - - - - original message - - - - -
from : miller , don ( asset mktg )
sent : sunday , january 06 , 2002 1 : 19 pm
to : shepperd , tammy r .
subject : re : master plan
tammy ,
i have approx . 100 + people principally on 5 , but some remain on 6 . i believe it will tough , if not impossible to move everyone by tuesday ( i have no idea where jim fallon is planning on putting his wholesale group ) . i have forwarded this email to jim , and anticipate that he will deal with it .
thanks ,
don
- - - - - original message - - - - -
from : shepperd , tammy r .
sent : friday , january 04 , 2002 2 : 05 pm
to : miller , don ( asset mktg )
cc : bubenko , deborah ; duree , janelle
subject : fw : master plan
importance : high
don ,
i am working on the space plan for netco . i need a bit of assistance to identify the estate folks that are currently seated on either 5 or 6 . due to the short lead time i am on a rather tight leash . phase one of the project would require moving the estate people either to another ecs floor or perhaps to ecn . we would potentially schedule these moves for tuesday evening .
please advise as soon as possible the names and preferred location ( ecs or ecn ) for your estate team .
thanks in advance for your help !
tammy
x 36589
- - - - - original message - - - - -
from : kitchen , louise
sent : monday , december 31 , 2001 10 : 20 am
to : shepperd , tammy r .
cc : colwell , wes ; lavorato , john
subject : master plan
just when you thought it was safe . . . . . . . . . . . . . . . . . . . . . . . . . . . .
we need to start working on getting everyone together who is in netco in time for the sale of the company . the ideal move time would be either this week - end or the next . the idea is that everyone ( 856 ) resides on 5 and 6 in the new building . hr has the most up to date list of who all of the people are . but essentially the organisation is just a smaller version of what we have today .
all commercial people on 6 , non - commerical on 5 . we would need to plan for an office to be created in the room next to mine ( but hold off on implementing that piece ) .
as the credit group is already here ( in the room next to mine ) - it would be really good to move them first so they do not have to move back to the old building and then back .
thanks</t>
        </is>
      </c>
      <c r="I102" t="inlineStr">
        <is>
          <t>Enron (легітимні листи, label 0); файл Enron.csv, рядок 12755. Champa A. I., Rabbi M. F., Zibran M. F. Phishing Email Curated Datasets. Zenodo, 2023. DOI: 10.5281/zenodo.8339691</t>
        </is>
      </c>
    </row>
    <row r="103">
      <c r="A103" t="n">
        <v>102</v>
      </c>
      <c r="B103" t="inlineStr">
        <is>
          <t>look forward to hearning from you .. vince ,
please let me know what day might be convenient for you this week for a
quick lunch if possible .
thank you .
maruti
- - - - - original message - - - - -
from : more
to : vince . j . kaminski @ enron . com
date : monday , august 28 , 2000 2 : 31 pm
subject : re : enron open positions
&gt; vince ,
&gt;
&gt; just fine . i will be there at 11 : 30 am on friday , september 8 , 2000 .
&gt;
&gt; see you at the enron building .
&gt;
&gt; thank you .
&gt;
&gt; maruti
&gt;
&gt; - - - - - original message - - - - -
&gt; from : vince . j . kaminski @ enron . com
&gt; to : mmore @ houston . rr . com
&gt; cc : vince . j . kaminski @ enron . com
&gt; date : monday , august 28 , 2000 2 : 14 pm
&gt; subject : re : enron open positions
&gt;
&gt;
&gt;
&gt; maruti ,
&gt;
&gt; does 11 : 30 enron building work for you ?
&gt;
&gt; vince
&gt;
&gt;
&gt;
&gt;
&gt;
&gt; " more " on 08 / 28 / 2000 01 : 25 : 54 pm
&gt;
&gt; to : " vince j kaminski "
&gt; cc :
&gt; subject : re : enron open positions
&gt;
&gt;
&gt;
&gt; hello vince ,
&gt;
&gt; thank you very much for getting back to me .
&gt;
&gt; friday , september 8 is fine with me . please let me know what time would be
&gt; convenient for you and where we can meet . i can come any time anywhere .
&gt;
&gt; sincerely ,
&gt;
&gt; maruti
&gt; 832 - 251 - 7267
&gt;
&gt;
&gt;
&gt;
&gt; - - - - - original message - - - - -
&gt; from : vince j kaminski
&gt; to : more
&gt; cc : vince j kaminski
&gt; date : monday , august 28 , 2000 12 : 12 pm
&gt; subject : re : enron open positions
&gt;
&gt;
&gt;
&gt; maruti ,
&gt;
&gt; what about september 8 , friday ?
&gt;
&gt; vince
&gt;
&gt;
&gt;
&gt;
&gt;
&gt; " more " on 08 / 25 / 2000 03 : 27 : 26 pm
&gt;
&gt; to : vince j kaminski / hou / ect @ ect
&gt; cc :
&gt; subject : enron open positions
&gt;
&gt;
&gt;
&gt;
&gt;
&gt;
&gt;
&gt;</t>
        </is>
      </c>
      <c r="C103" t="n">
        <v>0</v>
      </c>
      <c r="D103" t="inlineStr"/>
      <c r="E103" t="inlineStr"/>
      <c r="F103" t="inlineStr"/>
      <c r="G103" t="inlineStr">
        <is>
          <t>look forward to hearning from you .</t>
        </is>
      </c>
      <c r="H103" t="inlineStr">
        <is>
          <t>vince ,
please let me know what day might be convenient for you this week for a
quick lunch if possible .
thank you .
maruti
- - - - - original message - - - - -
from : more
to : vince . j . kaminski @ enron . com
date : monday , august 28 , 2000 2 : 31 pm
subject : re : enron open positions
&gt; vince ,
&gt;
&gt; just fine . i will be there at 11 : 30 am on friday , september 8 , 2000 .
&gt;
&gt; see you at the enron building .
&gt;
&gt; thank you .
&gt;
&gt; maruti
&gt;
&gt; - - - - - original message - - - - -
&gt; from : vince . j . kaminski @ enron . com
&gt; to : mmore @ houston . rr . com
&gt; cc : vince . j . kaminski @ enron . com
&gt; date : monday , august 28 , 2000 2 : 14 pm
&gt; subject : re : enron open positions
&gt;
&gt;
&gt;
&gt; maruti ,
&gt;
&gt; does 11 : 30 enron building work for you ?
&gt;
&gt; vince
&gt;
&gt;
&gt;
&gt;
&gt;
&gt; " more " on 08 / 28 / 2000 01 : 25 : 54 pm
&gt;
&gt; to : " vince j kaminski "
&gt; cc :
&gt; subject : re : enron open positions
&gt;
&gt;
&gt;
&gt; hello vince ,
&gt;
&gt; thank you very much for getting back to me .
&gt;
&gt; friday , september 8 is fine with me . please let me know what time would be
&gt; convenient for you and where we can meet . i can come any time anywhere .
&gt;
&gt; sincerely ,
&gt;
&gt; maruti
&gt; 832 - 251 - 7267
&gt;
&gt;
&gt;
&gt;
&gt; - - - - - original message - - - - -
&gt; from : vince j kaminski
&gt; to : more
&gt; cc : vince j kaminski
&gt; date : monday , august 28 , 2000 12 : 12 pm
&gt; subject : re : enron open positions
&gt;
&gt;
&gt;
&gt; maruti ,
&gt;
&gt; what about september 8 , friday ?
&gt;
&gt; vince
&gt;
&gt;
&gt;
&gt;
&gt;
&gt; " more " on 08 / 25 / 2000 03 : 27 : 26 pm
&gt;
&gt; to : vince j kaminski / hou / ect @ ect
&gt; cc :
&gt; subject : enron open positions
&gt;
&gt;
&gt;
&gt;
&gt;
&gt;
&gt;
&gt;</t>
        </is>
      </c>
      <c r="I103" t="inlineStr">
        <is>
          <t>Enron (легітимні листи, label 0); файл Enron.csv, рядок 6705. Champa A. I., Rabbi M. F., Zibran M. F. Phishing Email Curated Datasets. Zenodo, 2023. DOI: 10.5281/zenodo.8339691</t>
        </is>
      </c>
    </row>
    <row r="104">
      <c r="A104" t="n">
        <v>103</v>
      </c>
      <c r="B104" t="inlineStr">
        <is>
          <t>re : global operations controller forum. completed as below
enron capital &amp; trade resources corp .
from : sally beck 10 / 10 / 2000 23 : 58
sent by : patti thompson
to : mike jordan / lon / ect @ ect , james new / lon / ect @ ect , mike
wellings / lon / ect @ ect , coralie evans / lon / ect @ ect , robert yeo / lon / ect @ ect , paul
d ' arcy / lon / ect @ ect , david a wall / risk mgmt / lon / ect @ ect , andrew
cornfield / lon / ect @ ect , cindy horn / lon / ect @ ect , jeffrey c gossett / hou / ect @ ect ,
leslie reeves / hou / ect @ ect , bob m hall / na / enron @ enron , stacey w
white / hou / ect @ ect , peggy hedstrom / cal / ect @ ect , brenda f herod / hou / ect @ ect ,
brent a price / hou / ect @ ect , scott earnest / hou / ect @ ect , d todd
hall / hou / ect @ ect , sheila glover / hou / ect @ ect , kevin sweeney / hou / ect @ ect ,
fernley dyson / lon / ect @ ect , heidi mason / enron _ development @ enron _ development ,
jan - erland bekeng / ap / enron @ enron , scott mills / hou / ect @ ect , barry pearce / enron
communications @ enron communications , kristin albrecht / enron
communications @ enron communications , wanda curry / hou / ect @ ect , meredith m
eggleston / hou / ees @ ees , shona wilson / na / enron @ enron , eugenio
perez / hou / ect @ ect , michael e moscoso / hou / ect @ ect , neil tarling / enron
communications @ enron communications
cc :
subject : global operations controller forum
please fill in the following information and email ( or fax 713 - 345 - 8100 ) to
me as soon as possible . ( the same day would be great ! )
please select dinner entr , e for sunday , oct 22 pan seared medallions of black
angus tenderloin , or yes
grilled chicken breast w / artichoke , mushrooms &amp; light herb sauce
hotel reservation : both sunday and monday nights yes
sunday night only
monday night only
extend for additional nights
smoking or non - smoking room non smoking
flight information : date of arrival sunday 22 oct
airline / flight number continental co 35
houston arrival time
shirt size : women ' s or men ' s size mens
small , med , large , x - large , xx - large xl
thanks ,
patti x 39106</t>
        </is>
      </c>
      <c r="C104" t="n">
        <v>0</v>
      </c>
      <c r="D104" t="inlineStr"/>
      <c r="E104" t="inlineStr"/>
      <c r="F104" t="inlineStr"/>
      <c r="G104" t="inlineStr">
        <is>
          <t>re : global operations controller forum</t>
        </is>
      </c>
      <c r="H104" t="inlineStr">
        <is>
          <t>completed as below
enron capital &amp; trade resources corp .
from : sally beck 10 / 10 / 2000 23 : 58
sent by : patti thompson
to : mike jordan / lon / ect @ ect , james new / lon / ect @ ect , mike
wellings / lon / ect @ ect , coralie evans / lon / ect @ ect , robert yeo / lon / ect @ ect , paul
d ' arcy / lon / ect @ ect , david a wall / risk mgmt / lon / ect @ ect , andrew
cornfield / lon / ect @ ect , cindy horn / lon / ect @ ect , jeffrey c gossett / hou / ect @ ect ,
leslie reeves / hou / ect @ ect , bob m hall / na / enron @ enron , stacey w
white / hou / ect @ ect , peggy hedstrom / cal / ect @ ect , brenda f herod / hou / ect @ ect ,
brent a price / hou / ect @ ect , scott earnest / hou / ect @ ect , d todd
hall / hou / ect @ ect , sheila glover / hou / ect @ ect , kevin sweeney / hou / ect @ ect ,
fernley dyson / lon / ect @ ect , heidi mason / enron _ development @ enron _ development ,
jan - erland bekeng / ap / enron @ enron , scott mills / hou / ect @ ect , barry pearce / enron
communications @ enron communications , kristin albrecht / enron
communications @ enron communications , wanda curry / hou / ect @ ect , meredith m
eggleston / hou / ees @ ees , shona wilson / na / enron @ enron , eugenio
perez / hou / ect @ ect , michael e moscoso / hou / ect @ ect , neil tarling / enron
communications @ enron communications
cc :
subject : global operations controller forum
please fill in the following information and email ( or fax 713 - 345 - 8100 ) to
me as soon as possible . ( the same day would be great ! )
please select dinner entr , e for sunday , oct 22 pan seared medallions of black
angus tenderloin , or yes
grilled chicken breast w / artichoke , mushrooms &amp; light herb sauce
hotel reservation : both sunday and monday nights yes
sunday night only
monday night only
extend for additional nights
smoking or non - smoking room non smoking
flight information : date of arrival sunday 22 oct
airline / flight number continental co 35
houston arrival time
shirt size : women ' s or men ' s size mens
small , med , large , x - large , xx - large xl
thanks ,
patti x 39106</t>
        </is>
      </c>
      <c r="I104" t="inlineStr">
        <is>
          <t>Enron (легітимні листи, label 0); файл Enron.csv, рядок 21230. Champa A. I., Rabbi M. F., Zibran M. F. Phishing Email Curated Datasets. Zenodo, 2023. DOI: 10.5281/zenodo.8339691</t>
        </is>
      </c>
    </row>
    <row r="105">
      <c r="A105" t="n">
        <v>104</v>
      </c>
      <c r="B105" t="inlineStr">
        <is>
          <t>archiving unsubscribed capacity. i spoke with perry frazier this afternoon . i have a copy in my file of the unsubscribed capacity on our ebb prior to the sale of tw space to mavrix and a copy of the sheet post - mavrix [ yes the space was posted ] . perry is printing the capacity sheets daily ( sometimes ) .
as a backup , michelle lokay will also do a daily print for years 2001 , 2002 , and 2003 . the pages will be kept in a log book on the tw marketing desk for future reference .
let me know if you have questions .
thanks
kh</t>
        </is>
      </c>
      <c r="C105" t="n">
        <v>0</v>
      </c>
      <c r="D105" t="inlineStr"/>
      <c r="E105" t="inlineStr"/>
      <c r="F105" t="inlineStr"/>
      <c r="G105" t="inlineStr">
        <is>
          <t>archiving unsubscribed capacity</t>
        </is>
      </c>
      <c r="H105" t="inlineStr">
        <is>
          <t>i spoke with perry frazier this afternoon . i have a copy in my file of the unsubscribed capacity on our ebb prior to the sale of tw space to mavrix and a copy of the sheet post - mavrix [ yes the space was posted ] . perry is printing the capacity sheets daily ( sometimes ) .
as a backup , michelle lokay will also do a daily print for years 2001 , 2002 , and 2003 . the pages will be kept in a log book on the tw marketing desk for future reference .
let me know if you have questions .
thanks
kh</t>
        </is>
      </c>
      <c r="I105" t="inlineStr">
        <is>
          <t>Enron (легітимні листи, label 0); файл Enron.csv, рядок 24762. Champa A. I., Rabbi M. F., Zibran M. F. Phishing Email Curated Datasets. Zenodo, 2023. DOI: 10.5281/zenodo.8339691</t>
        </is>
      </c>
    </row>
    <row r="106">
      <c r="A106" t="n">
        <v>105</v>
      </c>
      <c r="B106" t="inlineStr">
        <is>
          <t>dispute research protocol - for your review. virginia &amp; mike -
in your ( sadly noted ) absence today , i decided to put together a brief document to help facilitate the dispute research process and its relation to the real time group . i know this is information of which you ' re well aware , but i thought it would be useful to have it documented for our convenience as well as for future generations of volume management experts .
please let me know what you think - if all relevant information is included and whether or not it ' s conveyed clearly .
thanks ,
kate</t>
        </is>
      </c>
      <c r="C106" t="n">
        <v>0</v>
      </c>
      <c r="D106" t="inlineStr"/>
      <c r="E106" t="inlineStr"/>
      <c r="F106" t="inlineStr"/>
      <c r="G106" t="inlineStr">
        <is>
          <t>dispute research protocol - for your review</t>
        </is>
      </c>
      <c r="H106" t="inlineStr">
        <is>
          <t>virginia &amp; mike -
in your ( sadly noted ) absence today , i decided to put together a brief document to help facilitate the dispute research process and its relation to the real time group . i know this is information of which you ' re well aware , but i thought it would be useful to have it documented for our convenience as well as for future generations of volume management experts .
please let me know what you think - if all relevant information is included and whether or not it ' s conveyed clearly .
thanks ,
kate</t>
        </is>
      </c>
      <c r="I106" t="inlineStr">
        <is>
          <t>Enron (легітимні листи, label 0); файл Enron.csv, рядок 16283. Champa A. I., Rabbi M. F., Zibran M. F. Phishing Email Curated Datasets. Zenodo, 2023. DOI: 10.5281/zenodo.8339691</t>
        </is>
      </c>
    </row>
    <row r="107">
      <c r="A107" t="n">
        <v>106</v>
      </c>
      <c r="B107" t="inlineStr">
        <is>
          <t>You have a package in our office. Kind Attn: YOU HAVE A PACKAGE
You have a package in our office which was sent to you by Chevron Oil &amp; Gas.
Information Requested For Claims:
1. Your Full Name's:
2. Home Address:
3. Country:
4. Phone Number:
Yours Sincerely,
Mr. Jeffrey Edward DHL Senior Delivery Officer Contact E-mail:
X-ME-Bayesian: 0.816424
Status: RO
X-Status: 
X-Keywords:                 
X-UID: 253</t>
        </is>
      </c>
      <c r="C107" t="n">
        <v>1</v>
      </c>
      <c r="D107" t="inlineStr">
        <is>
          <t>DHL Courier Service &lt;dhlcourierserviceintl@gmail.com&gt;</t>
        </is>
      </c>
      <c r="E107" t="inlineStr">
        <is>
          <t>jose@monkey.org</t>
        </is>
      </c>
      <c r="F107" t="inlineStr">
        <is>
          <t>Mon, 13 Jun 2016 12:27:43 +0000</t>
        </is>
      </c>
      <c r="G107" t="inlineStr">
        <is>
          <t>You have a package in our office</t>
        </is>
      </c>
      <c r="H107" t="inlineStr">
        <is>
          <t xml:space="preserve">Kind Attn: YOU HAVE A PACKAGE
You have a package in our office which was sent to you by Chevron Oil &amp; Gas.
Information Requested For Claims:
1. Your Full Name's:
2. Home Address:
3. Country:
4. Phone Number:
Yours Sincerely,
Mr. Jeffrey Edward DHL Senior Delivery Officer Contact E-mail:
X-ME-Bayesian: 0.816424
Status: RO
X-Status: 
X-Keywords:                 
X-UID: 253
</t>
        </is>
      </c>
      <c r="I107" t="inlineStr">
        <is>
          <t>Nazario phishing corpus (J. Nazario); файл Nazario.csv, рядок 263. Champa A. I., Rabbi M. F., Zibran M. F. Phishing Email Curated Datasets. Zenodo, 2023. DOI: 10.5281/zenodo.8339691</t>
        </is>
      </c>
    </row>
    <row r="108">
      <c r="A108" t="n">
        <v>107</v>
      </c>
      <c r="B108" t="inlineStr">
        <is>
          <t>fw : strictly confidential. here is the info for the commercial staff
john z
- - - - - original message - - - - -
from : milnthorp , rob
sent : friday , december 07 , 2001 11 : 20 am
to : zufferli , john
subject : strictly confidential
john , please check with louise as how to get the attached to her .</t>
        </is>
      </c>
      <c r="C108" t="n">
        <v>0</v>
      </c>
      <c r="D108" t="inlineStr"/>
      <c r="E108" t="inlineStr"/>
      <c r="F108" t="inlineStr"/>
      <c r="G108" t="inlineStr">
        <is>
          <t>fw : strictly confidential</t>
        </is>
      </c>
      <c r="H108" t="inlineStr">
        <is>
          <t>here is the info for the commercial staff
john z
- - - - - original message - - - - -
from : milnthorp , rob
sent : friday , december 07 , 2001 11 : 20 am
to : zufferli , john
subject : strictly confidential
john , please check with louise as how to get the attached to her .</t>
        </is>
      </c>
      <c r="I108" t="inlineStr">
        <is>
          <t>Enron (легітимні листи, label 0); файл Enron.csv, рядок 14254. Champa A. I., Rabbi M. F., Zibran M. F. Phishing Email Curated Datasets. Zenodo, 2023. DOI: 10.5281/zenodo.8339691</t>
        </is>
      </c>
    </row>
    <row r="109">
      <c r="A109" t="n">
        <v>108</v>
      </c>
      <c r="B109" t="inlineStr">
        <is>
          <t>Mailbox Warning!!!. Your two (2) outgoing mails have been placed on hold due to the recent upgrade in our database.   You are required to immediately validate and re-set your Email account space on our database:           Kindly click Only here to update your Outlook  Email Account.        We apologize for any inconvenience and do appreciate your corporation  an understanding.           OWA Helpdesk ISQ2015 Outlook Web App Team.</t>
        </is>
      </c>
      <c r="C109" t="n">
        <v>1</v>
      </c>
      <c r="D109" t="inlineStr">
        <is>
          <t>May Sandnes &lt;May.Sandnes@bodo.kommune.no&gt;</t>
        </is>
      </c>
      <c r="E109" t="inlineStr">
        <is>
          <t>"in@owa.ca" &lt;in@owa.ca&gt;</t>
        </is>
      </c>
      <c r="F109" t="inlineStr">
        <is>
          <t>Wed, 11 Nov 2015 11:30:15 +0000</t>
        </is>
      </c>
      <c r="G109" t="inlineStr">
        <is>
          <t>Mailbox Warning!!!</t>
        </is>
      </c>
      <c r="H109" t="inlineStr">
        <is>
          <t>Your two (2) outgoing mails have been placed on hold due to the recent upgrade in our database.   You are required to immediately validate and re-set your Email account space on our database:           Kindly click Only here to update your Outlook  Email Account.        We apologize for any inconvenience and do appreciate your corporation  an understanding.           OWA Helpdesk ISQ2015 Outlook Web App Team.</t>
        </is>
      </c>
      <c r="I109" t="inlineStr">
        <is>
          <t>Nazario phishing corpus (J. Nazario); файл Nazario.csv, рядок 23. Champa A. I., Rabbi M. F., Zibran M. F. Phishing Email Curated Datasets. Zenodo, 2023. DOI: 10.5281/zenodo.8339691</t>
        </is>
      </c>
    </row>
    <row r="110">
      <c r="A110" t="n">
        <v>109</v>
      </c>
      <c r="B110" t="inlineStr">
        <is>
          <t>jose@monkey.org sign-in attempt.. monkey.orgNew sign-in attempt to jose@monkey.orgYou will need to verify your account if this was not you for continues usage and full secured email upgrade.Verify AccountThis message was sent to jose@monkey.org, Ignore if this is not you.© 2019 monkey.org.</t>
        </is>
      </c>
      <c r="C110" t="n">
        <v>1</v>
      </c>
      <c r="D110" t="inlineStr">
        <is>
          <t>monkey.org &lt;fawaz.mousselly@hiast.edu.sy&gt;</t>
        </is>
      </c>
      <c r="E110" t="inlineStr">
        <is>
          <t>&lt;jose@monkey.org&gt;</t>
        </is>
      </c>
      <c r="F110" t="inlineStr">
        <is>
          <t>Fri, 1 Mar 2019 00:34:53 -0800</t>
        </is>
      </c>
      <c r="G110" t="inlineStr">
        <is>
          <t>jose@monkey.org sign-in attempt.</t>
        </is>
      </c>
      <c r="H110" t="inlineStr">
        <is>
          <t>monkey.orgNew sign-in attempt to jose@monkey.orgYou will need to verify your account if this was not you for continues usage and full secured email upgrade.Verify AccountThis message was sent to jose@monkey.org, Ignore if this is not you.© 2019 monkey.org.</t>
        </is>
      </c>
      <c r="I110" t="inlineStr">
        <is>
          <t>Nazario phishing corpus (J. Nazario); файл Nazario.csv, рядок 977. Champa A. I., Rabbi M. F., Zibran M. F. Phishing Email Curated Datasets. Zenodo, 2023. DOI: 10.5281/zenodo.8339691</t>
        </is>
      </c>
    </row>
    <row r="111">
      <c r="A111" t="n">
        <v>110</v>
      </c>
      <c r="B111" t="inlineStr">
        <is>
          <t>re : approval for paulo issler. anita ,
good decision .
vince
anita dupont @ enron
02 / 23 / 2001 12 : 13 pm
to : shirley crenshaw / hou / ect @ ect
cc : vince j kaminski / hou / ect @ ect
subject : re : approval for paulo issler
fyi : carolyn needed approval today for charges relating to paulo ' s green
card process . mike was the only vp here today so i asked him to approve
them . hope that was alright . anita
- - - - - - - - - - - - - - - - - - - - - - forwarded by anita dupont / na / enron on 02 / 23 / 2001 12 : 06
pm - - - - - - - - - - - - - - - - - - - - - - - - - - -
mike a roberts @ ect
02 / 23 / 2001 11 : 04 am
to : carolyn wedel / enron @ enronxgate @ enron
cc : anita dupont / na / enron @ enron
subject : re : approval for paulo issler
carolyn ,
approval to post the attached charges for paulo issler is granted .
mike roberts
v . p . research</t>
        </is>
      </c>
      <c r="C111" t="n">
        <v>0</v>
      </c>
      <c r="D111" t="inlineStr"/>
      <c r="E111" t="inlineStr"/>
      <c r="F111" t="inlineStr"/>
      <c r="G111" t="inlineStr">
        <is>
          <t>re : approval for paulo issler</t>
        </is>
      </c>
      <c r="H111" t="inlineStr">
        <is>
          <t>anita ,
good decision .
vince
anita dupont @ enron
02 / 23 / 2001 12 : 13 pm
to : shirley crenshaw / hou / ect @ ect
cc : vince j kaminski / hou / ect @ ect
subject : re : approval for paulo issler
fyi : carolyn needed approval today for charges relating to paulo ' s green
card process . mike was the only vp here today so i asked him to approve
them . hope that was alright . anita
- - - - - - - - - - - - - - - - - - - - - - forwarded by anita dupont / na / enron on 02 / 23 / 2001 12 : 06
pm - - - - - - - - - - - - - - - - - - - - - - - - - - -
mike a roberts @ ect
02 / 23 / 2001 11 : 04 am
to : carolyn wedel / enron @ enronxgate @ enron
cc : anita dupont / na / enron @ enron
subject : re : approval for paulo issler
carolyn ,
approval to post the attached charges for paulo issler is granted .
mike roberts
v . p . research</t>
        </is>
      </c>
      <c r="I111" t="inlineStr">
        <is>
          <t>Enron (легітимні листи, label 0); файл Enron.csv, рядок 7890. Champa A. I., Rabbi M. F., Zibran M. F. Phishing Email Curated Datasets. Zenodo, 2023. DOI: 10.5281/zenodo.8339691</t>
        </is>
      </c>
    </row>
    <row r="112">
      <c r="A112" t="n">
        <v>111</v>
      </c>
      <c r="B112" t="inlineStr">
        <is>
          <t>osman sezgen. steve kromer is requesting that osman spend 1 day / week in san francisco .
steve heads the risk analytics group for enery asset management under steve
meyers . i will find from marty why they are setting up shop in sf .
krishna .
- - - - - - - - - - - - - - - - - - - - - - forwarded by pinnamaneni krishnarao / hou / ect on
08 / 04 / 2000 04 : 40 pm - - - - - - - - - - - - - - - - - - - - - - - - - - -
to : pinnamaneni krishnarao / hou / ect @ ect
cc : dave roberts / hou / ees @ ees , osman sezgen / hou / ees @ ees
subject : osman sezgen
krishna ,
osman has informed me that he has been requested to provide research services
to a larger number of clients in ees , leaving him less time to contribute to
our work here at the eam desk . while i am happy for him and believe that the
company will benefit from his services , i am concerned that he may not be
available at a crucial time in the development of the eam option strategy .
the eam desk is continuing to develop standard models for the bulk of our ecm
projects . we have hired 4 people in the past month and all of them will be
working by early september . osman provides an important link for our new
staff to several core areas of our business . first , his experience with
modeling and energy analysis are invaluable . second , as we move to treating
our projects as options , and pricing them as such , osman will be needed to
assist us in creating auditable methods to assess savings volatility .
i am expecting two of the team members to start in san francisco in the near
future . my request is for osman to be available to this team for one day a
week for the next several months , preferably until christmas .
thank you for your consideration of this matter .
steve kromer</t>
        </is>
      </c>
      <c r="C112" t="n">
        <v>0</v>
      </c>
      <c r="D112" t="inlineStr"/>
      <c r="E112" t="inlineStr"/>
      <c r="F112" t="inlineStr"/>
      <c r="G112" t="inlineStr">
        <is>
          <t>osman sezgen</t>
        </is>
      </c>
      <c r="H112" t="inlineStr">
        <is>
          <t>steve kromer is requesting that osman spend 1 day / week in san francisco .
steve heads the risk analytics group for enery asset management under steve
meyers . i will find from marty why they are setting up shop in sf .
krishna .
- - - - - - - - - - - - - - - - - - - - - - forwarded by pinnamaneni krishnarao / hou / ect on
08 / 04 / 2000 04 : 40 pm - - - - - - - - - - - - - - - - - - - - - - - - - - -
to : pinnamaneni krishnarao / hou / ect @ ect
cc : dave roberts / hou / ees @ ees , osman sezgen / hou / ees @ ees
subject : osman sezgen
krishna ,
osman has informed me that he has been requested to provide research services
to a larger number of clients in ees , leaving him less time to contribute to
our work here at the eam desk . while i am happy for him and believe that the
company will benefit from his services , i am concerned that he may not be
available at a crucial time in the development of the eam option strategy .
the eam desk is continuing to develop standard models for the bulk of our ecm
projects . we have hired 4 people in the past month and all of them will be
working by early september . osman provides an important link for our new
staff to several core areas of our business . first , his experience with
modeling and energy analysis are invaluable . second , as we move to treating
our projects as options , and pricing them as such , osman will be needed to
assist us in creating auditable methods to assess savings volatility .
i am expecting two of the team members to start in san francisco in the near
future . my request is for osman to be available to this team for one day a
week for the next several months , preferably until christmas .
thank you for your consideration of this matter .
steve kromer</t>
        </is>
      </c>
      <c r="I112" t="inlineStr">
        <is>
          <t>Enron (легітимні листи, label 0); файл Enron.csv, рядок 8137. Champa A. I., Rabbi M. F., Zibran M. F. Phishing Email Curated Datasets. Zenodo, 2023. DOI: 10.5281/zenodo.8339691</t>
        </is>
      </c>
    </row>
    <row r="113">
      <c r="A113" t="n">
        <v>112</v>
      </c>
      <c r="B113" t="inlineStr">
        <is>
          <t>ena a &amp; a. john / louise
as of now i will also be working on the general a &amp; a pool for ena as well as working with you on the trading and orig . tracks . i just got the numbers from the a &amp; a program on the ena participation on the forthcoming a &amp; a fantastic friday / super saturday interview dates . as you can see ena ' s participation is very low ( pretty dismal ) . the de - brief sessions basically allows interviewers to select the candidates to their groups there and then . . . so ena has to be there .
oct 26 has only 5 ena interviewers all the remaining interviewers are ees and eim . i know ees are stacking quite heavy on the a &amp; a side . therefore , i will shortly be e : mailing your direct reports to solicit their and their direct report ' s participation in these interviews . it would be helpful if this could be re - inforced by you .
many thanks ! .
karen .</t>
        </is>
      </c>
      <c r="C113" t="n">
        <v>0</v>
      </c>
      <c r="D113" t="inlineStr"/>
      <c r="E113" t="inlineStr"/>
      <c r="F113" t="inlineStr"/>
      <c r="G113" t="inlineStr">
        <is>
          <t>ena a &amp; a</t>
        </is>
      </c>
      <c r="H113" t="inlineStr">
        <is>
          <t>john / louise
as of now i will also be working on the general a &amp; a pool for ena as well as working with you on the trading and orig . tracks . i just got the numbers from the a &amp; a program on the ena participation on the forthcoming a &amp; a fantastic friday / super saturday interview dates . as you can see ena ' s participation is very low ( pretty dismal ) . the de - brief sessions basically allows interviewers to select the candidates to their groups there and then . . . so ena has to be there .
oct 26 has only 5 ena interviewers all the remaining interviewers are ees and eim . i know ees are stacking quite heavy on the a &amp; a side . therefore , i will shortly be e : mailing your direct reports to solicit their and their direct report ' s participation in these interviews . it would be helpful if this could be re - inforced by you .
many thanks ! .
karen .</t>
        </is>
      </c>
      <c r="I113" t="inlineStr">
        <is>
          <t>Enron (легітимні листи, label 0); файл Enron.csv, рядок 13197. Champa A. I., Rabbi M. F., Zibran M. F. Phishing Email Curated Datasets. Zenodo, 2023. DOI: 10.5281/zenodo.8339691</t>
        </is>
      </c>
    </row>
    <row r="114">
      <c r="A114" t="n">
        <v>113</v>
      </c>
      <c r="B114" t="inlineStr">
        <is>
          <t>cinergy is closed !. cinergy is officially closed and money has been received . it was a great team effort and a real credit to everyone ' s ability to pull together for a common purpose .
cheers to the whole group ! ! ! !
don</t>
        </is>
      </c>
      <c r="C114" t="n">
        <v>0</v>
      </c>
      <c r="D114" t="inlineStr"/>
      <c r="E114" t="inlineStr"/>
      <c r="F114" t="inlineStr"/>
      <c r="G114" t="inlineStr">
        <is>
          <t>cinergy is closed !</t>
        </is>
      </c>
      <c r="H114" t="inlineStr">
        <is>
          <t>cinergy is officially closed and money has been received . it was a great team effort and a real credit to everyone ' s ability to pull together for a common purpose .
cheers to the whole group ! ! ! !
don</t>
        </is>
      </c>
      <c r="I114" t="inlineStr">
        <is>
          <t>Enron (легітимні листи, label 0); файл Enron.csv, рядок 13370. Champa A. I., Rabbi M. F., Zibran M. F. Phishing Email Curated Datasets. Zenodo, 2023. DOI: 10.5281/zenodo.8339691</t>
        </is>
      </c>
    </row>
    <row r="115">
      <c r="A115" t="n">
        <v>114</v>
      </c>
      <c r="B115" t="inlineStr">
        <is>
          <t>sec var. aa informed me that the hedges on the new power company warrants that were
monetized in the hawaii 125 - 0 mcgarret swaps were put on october 4 , not in
september . accordingly , i have recalculated total return swap var for
september .
regards ,
eugenio</t>
        </is>
      </c>
      <c r="C115" t="n">
        <v>0</v>
      </c>
      <c r="D115" t="inlineStr"/>
      <c r="E115" t="inlineStr"/>
      <c r="F115" t="inlineStr"/>
      <c r="G115" t="inlineStr">
        <is>
          <t>sec var</t>
        </is>
      </c>
      <c r="H115" t="inlineStr">
        <is>
          <t>aa informed me that the hedges on the new power company warrants that were
monetized in the hawaii 125 - 0 mcgarret swaps were put on october 4 , not in
september . accordingly , i have recalculated total return swap var for
september .
regards ,
eugenio</t>
        </is>
      </c>
      <c r="I115" t="inlineStr">
        <is>
          <t>Enron (легітимні листи, label 0); файл Enron.csv, рядок 22193. Champa A. I., Rabbi M. F., Zibran M. F. Phishing Email Curated Datasets. Zenodo, 2023. DOI: 10.5281/zenodo.8339691</t>
        </is>
      </c>
    </row>
    <row r="116">
      <c r="A116" t="n">
        <v>115</v>
      </c>
      <c r="B116" t="inlineStr">
        <is>
          <t>health insurance cards. hello , and happy new year !
regarding new health insurance cards for 2002 :
if you signed up for a new health plan , your new insurance card should be arriving at your home address .
temporary cards for cigna , united healthcare , merck / medco ( the enron prescription drug plan ) , and metlife dental are available at the enron benefits website * * , http : / / benefits . enron . com . you will need your ssn and 4 - digit pin to access the system . ( once you are logged in , select resources and forms and scroll down to the desired plan . )
* * please note : you may also access this site for dependent care / health care and parking / mass transit spending account reimbursement forms .
if you have any questions , please let us know .
thanks !
your hr team
- - - - - - - - - - - - - - - - - -
grace , x 8321
julie , x 7404</t>
        </is>
      </c>
      <c r="C116" t="n">
        <v>0</v>
      </c>
      <c r="D116" t="inlineStr"/>
      <c r="E116" t="inlineStr"/>
      <c r="F116" t="inlineStr"/>
      <c r="G116" t="inlineStr">
        <is>
          <t>health insurance cards</t>
        </is>
      </c>
      <c r="H116" t="inlineStr">
        <is>
          <t>hello , and happy new year !
regarding new health insurance cards for 2002 :
if you signed up for a new health plan , your new insurance card should be arriving at your home address .
temporary cards for cigna , united healthcare , merck / medco ( the enron prescription drug plan ) , and metlife dental are available at the enron benefits website * * , http : / / benefits . enron . com . you will need your ssn and 4 - digit pin to access the system . ( once you are logged in , select resources and forms and scroll down to the desired plan . )
* * please note : you may also access this site for dependent care / health care and parking / mass transit spending account reimbursement forms .
if you have any questions , please let us know .
thanks !
your hr team
- - - - - - - - - - - - - - - - - -
grace , x 8321
julie , x 7404</t>
        </is>
      </c>
      <c r="I116" t="inlineStr">
        <is>
          <t>Enron (легітимні листи, label 0); файл Enron.csv, рядок 17302. Champa A. I., Rabbi M. F., Zibran M. F. Phishing Email Curated Datasets. Zenodo, 2023. DOI: 10.5281/zenodo.8339691</t>
        </is>
      </c>
    </row>
    <row r="117">
      <c r="A117" t="n">
        <v>116</v>
      </c>
      <c r="B117" t="inlineStr">
        <is>
          <t>hpl meter # 981511 pt arthur refinery - chevron hpl. daren :
on 5 / 1 / 2000 recorded flow of 9 mmbtus from hpl ' s pipeline . deal # 222051 was
at this meter during april 2000 , but the deal expired on 4 / 30 / 2000 .
currently , this volume is being booked to the hpl stranger gas contract .
logistics needs either ( 1 ) deal # 222051 , ( 2 ) new deal , or ( 3 ) approval to
write - off this volume to unaccounted for gas . ( please print , sign , and
return original to clem cernosek ) .
deal / deal ticket # / customer ( seller / buyer )
or
approval to write - off the volumes to unaccounted for gas loss
thanks , clem</t>
        </is>
      </c>
      <c r="C117" t="n">
        <v>0</v>
      </c>
      <c r="D117" t="inlineStr"/>
      <c r="E117" t="inlineStr"/>
      <c r="F117" t="inlineStr"/>
      <c r="G117" t="inlineStr">
        <is>
          <t>hpl meter # 981511 pt arthur refinery - chevron hpl</t>
        </is>
      </c>
      <c r="H117" t="inlineStr">
        <is>
          <t>daren :
on 5 / 1 / 2000 recorded flow of 9 mmbtus from hpl ' s pipeline . deal # 222051 was
at this meter during april 2000 , but the deal expired on 4 / 30 / 2000 .
currently , this volume is being booked to the hpl stranger gas contract .
logistics needs either ( 1 ) deal # 222051 , ( 2 ) new deal , or ( 3 ) approval to
write - off this volume to unaccounted for gas . ( please print , sign , and
return original to clem cernosek ) .
deal / deal ticket # / customer ( seller / buyer )
or
approval to write - off the volumes to unaccounted for gas loss
thanks , clem</t>
        </is>
      </c>
      <c r="I117" t="inlineStr">
        <is>
          <t>Enron (легітимні листи, label 0); файл Enron.csv, рядок 2736. Champa A. I., Rabbi M. F., Zibran M. F. Phishing Email Curated Datasets. Zenodo, 2023. DOI: 10.5281/zenodo.8339691</t>
        </is>
      </c>
    </row>
    <row r="118">
      <c r="A118" t="n">
        <v>117</v>
      </c>
      <c r="B118" t="inlineStr">
        <is>
          <t>re :. john , very good idea to improve our integration as an organization . if possible the best timing is the last weekend in june .
with all the changes we have made i suggest an update of the major issues / opportunities in each one of our businesses . also an overall sense of business strategy and focus would be helpfull . from an hr standpoint i am not sure all understand the prc as a development tool , as well as an evaluation mechanism . we need to find ways to incentivate new and creative business development that may not result in short term results . a discussion of the hr development is key .
from a location standpoint there is a very nice guest ranch with great conference facilities that enron has used in the past located in jackson , wy . they can accomodate all our team and also have plenty of outside activities that include horseback riding in the mountains which is much less stressfull than climbing but you get the same views .
from : john j lavorato / enron @ enronxgate on 02 / 05 / 2001 16 : 29 cdt
to : phillip k allen / hou / ect @ ect , john arnold / hou / ect @ ect , harry arora / enron @ enronxgate , edward d baughman / enron @ enronxgate , sally beck / enron @ enronxgate , tim belden / hou / ect @ ect , christopher f calger / pdx / ect @ ect , remi collonges / sa / enron @ enron , wes colwell / enron @ enronxgate , derek davies / cal / ect @ ect , mark dana davis / hou / ect @ ect , joseph deffner / enron @ enronxgate , glen devries / enron @ enronxgate , paul devries / tor / ect @ ect , w david duran / hou / ect @ ect , chris h foster / enron @ enronxgate , doug gilbert - smith / corp / enron @ enron , orlando gonzalez / sa / enron @ enron , mark e haedicke / hou / ect @ ect , rogers herndon / hou / ect @ ect , ben jacoby / hou / ect @ ect , scott josey / enron @ enronxgate , joe kishkill / sa / enron @ enron , kyle kitagawa / cal / ect @ ect , fred lagrasta / enron @ enronxgate , john j lavorato / enron @ enronxgate , eric ledain / cal / ect @ ect , laura luce / corp / enron @ enron , thomas a martin / enron @ enronxgate , jonathan mckay / cal / ect @ ect , don miller / enron @ enronxgate , michael l miller / enron @ enronxgate , rob milnthorp / cal / ect @ ect , jean mrha / enron @ enronxgate , scott neal / hou / ect @ ect , david oxley / enron @ enronxgate , david parquet / sf / ect @ ect , beth perlman / enron @ enronxgate , kevin m presto / hou / ect @ ect , brian redmond / enron @ enronxgate , hunter s shively / enron @ enronxgate , fletcher j sturm / hou / ect @ ect , mike swerzbin / enron @ enronxgate , c john thompson / enron @ enronxgate , carl tricoli / corp / enron @ enron , barry tycholiz / na / enron @ enron , frank w vickers / na / enron @ enron , brett r wiggs / sa / enron @ enron , greg wolfe / enron @ enronxgate , max yzaguirre / na / enron @ enron , john zufferli / cal / ect @ ect
cc : louise kitchen / hou / ect @ ect
subject :
hello everyone .
in december we decided to kill our planned offsite due to market volatility . louise and i would like to get everyone together offsite , probably in late june ( once louise is back from holiday ( just kidding ) ) . i think it ' s time to go have a little fun with the group driving enron ' s success .
i would like suggestions as to :
1 ) where to go .
2 ) what should be the focus of the business meetings .
3 ) should we have business meetings or should we do something else ( ie . climb a mountain ) ? i ' m not a strong bid on climbing a mountain .
4 ) and any other ideas you have .
in addition i would like to start having staff meetings about once a month . the first one will be friday may 11 th at 2 : 30 p . m . please add this to your schedule . i have invited everyone who has p / l responsibility . portland , calgary and toronto will have to be on video or phone conference .
regards
john</t>
        </is>
      </c>
      <c r="C118" t="n">
        <v>0</v>
      </c>
      <c r="D118" t="inlineStr"/>
      <c r="E118" t="inlineStr"/>
      <c r="F118" t="inlineStr"/>
      <c r="G118" t="inlineStr">
        <is>
          <t>re :</t>
        </is>
      </c>
      <c r="H118" t="inlineStr">
        <is>
          <t>john , very good idea to improve our integration as an organization . if possible the best timing is the last weekend in june .
with all the changes we have made i suggest an update of the major issues / opportunities in each one of our businesses . also an overall sense of business strategy and focus would be helpfull . from an hr standpoint i am not sure all understand the prc as a development tool , as well as an evaluation mechanism . we need to find ways to incentivate new and creative business development that may not result in short term results . a discussion of the hr development is key .
from a location standpoint there is a very nice guest ranch with great conference facilities that enron has used in the past located in jackson , wy . they can accomodate all our team and also have plenty of outside activities that include horseback riding in the mountains which is much less stressfull than climbing but you get the same views .
from : john j lavorato / enron @ enronxgate on 02 / 05 / 2001 16 : 29 cdt
to : phillip k allen / hou / ect @ ect , john arnold / hou / ect @ ect , harry arora / enron @ enronxgate , edward d baughman / enron @ enronxgate , sally beck / enron @ enronxgate , tim belden / hou / ect @ ect , christopher f calger / pdx / ect @ ect , remi collonges / sa / enron @ enron , wes colwell / enron @ enronxgate , derek davies / cal / ect @ ect , mark dana davis / hou / ect @ ect , joseph deffner / enron @ enronxgate , glen devries / enron @ enronxgate , paul devries / tor / ect @ ect , w david duran / hou / ect @ ect , chris h foster / enron @ enronxgate , doug gilbert - smith / corp / enron @ enron , orlando gonzalez / sa / enron @ enron , mark e haedicke / hou / ect @ ect , rogers herndon / hou / ect @ ect , ben jacoby / hou / ect @ ect , scott josey / enron @ enronxgate , joe kishkill / sa / enron @ enron , kyle kitagawa / cal / ect @ ect , fred lagrasta / enron @ enronxgate , john j lavorato / enron @ enronxgate , eric ledain / cal / ect @ ect , laura luce / corp / enron @ enron , thomas a martin / enron @ enronxgate , jonathan mckay / cal / ect @ ect , don miller / enron @ enronxgate , michael l miller / enron @ enronxgate , rob milnthorp / cal / ect @ ect , jean mrha / enron @ enronxgate , scott neal / hou / ect @ ect , david oxley / enron @ enronxgate , david parquet / sf / ect @ ect , beth perlman / enron @ enronxgate , kevin m presto / hou / ect @ ect , brian redmond / enron @ enronxgate , hunter s shively / enron @ enronxgate , fletcher j sturm / hou / ect @ ect , mike swerzbin / enron @ enronxgate , c john thompson / enron @ enronxgate , carl tricoli / corp / enron @ enron , barry tycholiz / na / enron @ enron , frank w vickers / na / enron @ enron , brett r wiggs / sa / enron @ enron , greg wolfe / enron @ enronxgate , max yzaguirre / na / enron @ enron , john zufferli / cal / ect @ ect
cc : louise kitchen / hou / ect @ ect
subject :
hello everyone .
in december we decided to kill our planned offsite due to market volatility . louise and i would like to get everyone together offsite , probably in late june ( once louise is back from holiday ( just kidding ) ) . i think it ' s time to go have a little fun with the group driving enron ' s success .
i would like suggestions as to :
1 ) where to go .
2 ) what should be the focus of the business meetings .
3 ) should we have business meetings or should we do something else ( ie . climb a mountain ) ? i ' m not a strong bid on climbing a mountain .
4 ) and any other ideas you have .
in addition i would like to start having staff meetings about once a month . the first one will be friday may 11 th at 2 : 30 p . m . please add this to your schedule . i have invited everyone who has p / l responsibility . portland , calgary and toronto will have to be on video or phone conference .
regards
john</t>
        </is>
      </c>
      <c r="I118" t="inlineStr">
        <is>
          <t>Enron (легітимні листи, label 0); файл Enron.csv, рядок 11986. Champa A. I., Rabbi M. F., Zibran M. F. Phishing Email Curated Datasets. Zenodo, 2023. DOI: 10.5281/zenodo.8339691</t>
        </is>
      </c>
    </row>
    <row r="119">
      <c r="A119" t="n">
        <v>118</v>
      </c>
      <c r="B119" t="inlineStr">
        <is>
          <t>bullets 8 / 25. el paso field services - epfs has agreed to go forward on a new interconnect
with tw in eddy county , nm . the size of the new interconnect will be 40 , 000
mmbtu / d . epfs has agreed to pay $ 165 , 000 towards the cost estimate of
$ 280 , 000 as well as commit 12 , 500 mmbtu / d throughput for a period of 2
years . facility planning is opening a new work order and we have begun
drafting the interconnect agreement and the oba for the new point . the point
should be active in 60 - 90 days .
arizona public service - has still not signed the transport request for the
14 , 000 mmbtu / d april - october 2001 capacity . the current spread is $ 0 . 375 -
$ 0 . 40 .
red cedar - has finally decided on their transport volume under our new 5
year agreement . contract documentation is being prepared .
sempra - has again exercised their option under their gallup contract for
21 , 500 mmbtu / d permian to california for 1 year starting 11 / 1 / 01 . the
contract rate is $ 0 . 30 plus fuel .
texaco is moving up to 100 , 000 mmbtu / d from pg &amp; e topock to mojave starting
8 / 21 through 10 / 31 / 00 . tw collected an incremental $ . 025 / mmbtu for this move
or approximately $ 160 , 000 .
el paso outage -
current reports are the office of pipeline safety is demanding el paso hydro
test , x - ray and ultrasonic test all 330 miles of pipe that is currently out
of service due to last weekend ' s explosion . it appears the 1 bcf / d capacity
to california may be off - line for up to one month .
related developments
- - socal released capacity on el paso for october 2000 to dynegy at a
reservation charge of $ 1 . 00 / mmbtu .
- - volume on various tw interconnect points has picked up on the east end
including the new ngpl winkler point .
- - we are receiving incremental volume from el paso at window rock and
collecting a portion of the market premium .
transport options - a working group meeting with customers has been scheduled
for thursday august 31 . the objective will be to get everyone comfortable
and build a coalition of support behind our new options tariff filing .
burlington resources - we held a conference call with john hinton , marketing
director , regarding the current operation of the val verde plant . our data
indicates , with the exception of a few t - 5 temperature limit days , tw has been
able to accept over 98 % of the gas nominated by the plant . in addition , for
the last 2 years , the plant has been delivering gas with co 2 in excess of our
specs . we agreed our latest amendment draft could use some stronger language
in terms of tw ' s obligations beyond a " best efforts " basis . john indicated
a willingness to work together as they were trying to schedule a delivery of
215 , 000 mmbtu to us for hub delivery . we agreed to talk again next week
once the volume test was complete .</t>
        </is>
      </c>
      <c r="C119" t="n">
        <v>0</v>
      </c>
      <c r="D119" t="inlineStr"/>
      <c r="E119" t="inlineStr"/>
      <c r="F119" t="inlineStr"/>
      <c r="G119" t="inlineStr">
        <is>
          <t>bullets 8 / 25</t>
        </is>
      </c>
      <c r="H119" t="inlineStr">
        <is>
          <t>el paso field services - epfs has agreed to go forward on a new interconnect
with tw in eddy county , nm . the size of the new interconnect will be 40 , 000
mmbtu / d . epfs has agreed to pay $ 165 , 000 towards the cost estimate of
$ 280 , 000 as well as commit 12 , 500 mmbtu / d throughput for a period of 2
years . facility planning is opening a new work order and we have begun
drafting the interconnect agreement and the oba for the new point . the point
should be active in 60 - 90 days .
arizona public service - has still not signed the transport request for the
14 , 000 mmbtu / d april - october 2001 capacity . the current spread is $ 0 . 375 -
$ 0 . 40 .
red cedar - has finally decided on their transport volume under our new 5
year agreement . contract documentation is being prepared .
sempra - has again exercised their option under their gallup contract for
21 , 500 mmbtu / d permian to california for 1 year starting 11 / 1 / 01 . the
contract rate is $ 0 . 30 plus fuel .
texaco is moving up to 100 , 000 mmbtu / d from pg &amp; e topock to mojave starting
8 / 21 through 10 / 31 / 00 . tw collected an incremental $ . 025 / mmbtu for this move
or approximately $ 160 , 000 .
el paso outage -
current reports are the office of pipeline safety is demanding el paso hydro
test , x - ray and ultrasonic test all 330 miles of pipe that is currently out
of service due to last weekend ' s explosion . it appears the 1 bcf / d capacity
to california may be off - line for up to one month .
related developments
- - socal released capacity on el paso for october 2000 to dynegy at a
reservation charge of $ 1 . 00 / mmbtu .
- - volume on various tw interconnect points has picked up on the east end
including the new ngpl winkler point .
- - we are receiving incremental volume from el paso at window rock and
collecting a portion of the market premium .
transport options - a working group meeting with customers has been scheduled
for thursday august 31 . the objective will be to get everyone comfortable
and build a coalition of support behind our new options tariff filing .
burlington resources - we held a conference call with john hinton , marketing
director , regarding the current operation of the val verde plant . our data
indicates , with the exception of a few t - 5 temperature limit days , tw has been
able to accept over 98 % of the gas nominated by the plant . in addition , for
the last 2 years , the plant has been delivering gas with co 2 in excess of our
specs . we agreed our latest amendment draft could use some stronger language
in terms of tw ' s obligations beyond a " best efforts " basis . john indicated
a willingness to work together as they were trying to schedule a delivery of
215 , 000 mmbtu to us for hub delivery . we agreed to talk again next week
once the volume test was complete .</t>
        </is>
      </c>
      <c r="I119" t="inlineStr">
        <is>
          <t>Enron (легітимні листи, label 0); файл Enron.csv, рядок 25226. Champa A. I., Rabbi M. F., Zibran M. F. Phishing Email Curated Datasets. Zenodo, 2023. DOI: 10.5281/zenodo.8339691</t>
        </is>
      </c>
    </row>
    <row r="120">
      <c r="A120" t="n">
        <v>119</v>
      </c>
      <c r="B120" t="inlineStr">
        <is>
          <t>fixed price swap profile. please respond to pat anderson [ [ enron 42 . xls : 2599 in enron 42 . xls ] ]
darren , thanks for your patience . call me when you have the time to go over this .
patricia anderson
512 - 370 - 8280
- enron 42 . xls</t>
        </is>
      </c>
      <c r="C120" t="n">
        <v>0</v>
      </c>
      <c r="D120" t="inlineStr"/>
      <c r="E120" t="inlineStr"/>
      <c r="F120" t="inlineStr"/>
      <c r="G120" t="inlineStr">
        <is>
          <t>fixed price swap profile</t>
        </is>
      </c>
      <c r="H120" t="inlineStr">
        <is>
          <t>please respond to pat anderson [ [ enron 42 . xls : 2599 in enron 42 . xls ] ]
darren , thanks for your patience . call me when you have the time to go over this .
patricia anderson
512 - 370 - 8280
- enron 42 . xls</t>
        </is>
      </c>
      <c r="I120" t="inlineStr">
        <is>
          <t>Enron (легітимні листи, label 0); файл Enron.csv, рядок 2684. Champa A. I., Rabbi M. F., Zibran M. F. Phishing Email Curated Datasets. Zenodo, 2023. DOI: 10.5281/zenodo.8339691</t>
        </is>
      </c>
    </row>
    <row r="121">
      <c r="A121" t="n">
        <v>120</v>
      </c>
      <c r="B121" t="inlineStr">
        <is>
          <t>Your invoice from Apple. Your Apple Email ID, was used to purchase " "Wildest Dreams" Album by Taylor Swift ($ 4,49 ) from the ITunes Store on a device that had not previously been associated with you. If you made this purchase, you can disregard this email. If you did not make this purchase, we recommend that you go to   http:/apple.com/support/cancel-9823ER4   cancel the transaction, Confirm that you're the owner of the account and then follow the instructions. For more information, see our frequently asked questions. Thanks, Apple Customer Support Your Apple Email ID, was used to purchase " "Wildest  Dreams" Album by Taylor Swift ($ 4,49 ) from the ITunes Store on a device that  had not previously been associated with you.   If you made this purchase, you can disregard this email.   If you did not make this purchase, we recommend that you go to    http:/apple.com/support/cancel-9823ER4     cancel the transaction, Confirm that you're the owner of the account and  then follow the instructions.For more information, see our frequently  asked questions.Thanks,Apple Customer  Support</t>
        </is>
      </c>
      <c r="C121" t="n">
        <v>1</v>
      </c>
      <c r="D121" t="inlineStr">
        <is>
          <t>"Apple" &lt;info22@kyowam.co.jp&gt;</t>
        </is>
      </c>
      <c r="E121" t="inlineStr"/>
      <c r="F121" t="inlineStr">
        <is>
          <t>Sat, 15 Oct 2016 22:25:29 +0200</t>
        </is>
      </c>
      <c r="G121" t="inlineStr">
        <is>
          <t>Your invoice from Apple</t>
        </is>
      </c>
      <c r="H121" t="inlineStr">
        <is>
          <t>Your Apple Email ID, was used to purchase " "Wildest Dreams" Album by Taylor Swift ($ 4,49 ) from the ITunes Store on a device that had not previously been associated with you. If you made this purchase, you can disregard this email. If you did not make this purchase, we recommend that you go to   http:/apple.com/support/cancel-9823ER4   cancel the transaction, Confirm that you're the owner of the account and then follow the instructions. For more information, see our frequently asked questions. Thanks, Apple Customer Support Your Apple Email ID, was used to purchase " "Wildest  Dreams" Album by Taylor Swift ($ 4,49 ) from the ITunes Store on a device that  had not previously been associated with you.   If you made this purchase, you can disregard this email.   If you did not make this purchase, we recommend that you go to    http:/apple.com/support/cancel-9823ER4     cancel the transaction, Confirm that you're the owner of the account and  then follow the instructions.For more information, see our frequently  asked questions.Thanks,Apple Customer  Support</t>
        </is>
      </c>
      <c r="I121" t="inlineStr">
        <is>
          <t>Nazario phishing corpus (J. Nazario); файл Nazario.csv, рядок 364. Champa A. I., Rabbi M. F., Zibran M. F. Phishing Email Curated Datasets. Zenodo, 2023. DOI: 10.5281/zenodo.8339691</t>
        </is>
      </c>
    </row>
    <row r="122">
      <c r="A122" t="n">
        <v>121</v>
      </c>
      <c r="B122" t="inlineStr">
        <is>
          <t>UPS Update: Package Scheduled for Delivery. UPS My Choice®                 Hi, you have a package coming.                   Shipped Date: 	 Friday, 05/03/2019      	                       Change Delivery       Manage Preferences       View Delivery Planner                                Tracking Number:	 1Z728389245276325      UPS Service:	 UPS Ground      	                                                       	 Facebook      	 Twitter           	 LinkedIn      	 YouTube            © 2019 United Parcel Service of America, Inc. UPS, the UPS brandmark, and the color brown are trademarks of United Parcel Service of America, Inc. All rights reserved. All trademarks, trade names, or service marks that appear in connection with UPS's services are the property of their respective owners. Please do not reply directly to this e-mail.  To manage your UPS My Choice® delivery alerts, select "UPS My Choice Preferences" below.      UPS My Choice Preferences  UPS Privacy Notice  UPS My Choice Service Terms  Help and Support Center      UPS My Choice®  Hi, you have a package coming.  Shipped Date:  Friday, 05/03/2019   Change Delivery  Manage Preferences  View Delivery Planner  Tracking Number: 1Z728389245276325 UPS Service: UPS Ground   Facebook Twitter LinkedIn YouTube © 2019 United Parcel Service of America, Inc. UPS, the UPS brandmark, and the color brown are trademarks of United Parcel Service of America, Inc. All rights reserved.All trademarks, trade names, or service marks that appear in connection with UPS's services are the property of their respective owners.Please do not reply directly to this e-mail. To manage your UPS My Choice® delivery alerts, select "UPS My Choice Preferences" below.  UPS My Choice Preferences UPS Privacy Notice UPS My Choice Service Terms Help and Support Center</t>
        </is>
      </c>
      <c r="C122" t="n">
        <v>1</v>
      </c>
      <c r="D122" t="inlineStr">
        <is>
          <t>"UPS My Choice" &lt;info@etc-ege.com&gt;</t>
        </is>
      </c>
      <c r="E122" t="inlineStr">
        <is>
          <t>Recipients &lt;info@etc-ege.com&gt;</t>
        </is>
      </c>
      <c r="F122" t="inlineStr">
        <is>
          <t>Sun, 05 May 2019 16:53:59 -0700</t>
        </is>
      </c>
      <c r="G122" t="inlineStr">
        <is>
          <t>UPS Update: Package Scheduled for Delivery</t>
        </is>
      </c>
      <c r="H122" t="inlineStr">
        <is>
          <t>UPS My Choice®                 Hi, you have a package coming.                   Shipped Date: 	 Friday, 05/03/2019      	                       Change Delivery       Manage Preferences       View Delivery Planner                                Tracking Number:	 1Z728389245276325      UPS Service:	 UPS Ground      	                                                       	 Facebook      	 Twitter           	 LinkedIn      	 YouTube            © 2019 United Parcel Service of America, Inc. UPS, the UPS brandmark, and the color brown are trademarks of United Parcel Service of America, Inc. All rights reserved. All trademarks, trade names, or service marks that appear in connection with UPS's services are the property of their respective owners. Please do not reply directly to this e-mail.  To manage your UPS My Choice® delivery alerts, select "UPS My Choice Preferences" below.      UPS My Choice Preferences  UPS Privacy Notice  UPS My Choice Service Terms  Help and Support Center      UPS My Choice®  Hi, you have a package coming.  Shipped Date:  Friday, 05/03/2019   Change Delivery  Manage Preferences  View Delivery Planner  Tracking Number: 1Z728389245276325 UPS Service: UPS Ground   Facebook Twitter LinkedIn YouTube © 2019 United Parcel Service of America, Inc. UPS, the UPS brandmark, and the color brown are trademarks of United Parcel Service of America, Inc. All rights reserved.All trademarks, trade names, or service marks that appear in connection with UPS's services are the property of their respective owners.Please do not reply directly to this e-mail. To manage your UPS My Choice® delivery alerts, select "UPS My Choice Preferences" below.  UPS My Choice Preferences UPS Privacy Notice UPS My Choice Service Terms Help and Support Center</t>
        </is>
      </c>
      <c r="I122" t="inlineStr">
        <is>
          <t>Nazario phishing corpus (J. Nazario); файл Nazario.csv, рядок 1030. Champa A. I., Rabbi M. F., Zibran M. F. Phishing Email Curated Datasets. Zenodo, 2023. DOI: 10.5281/zenodo.8339691</t>
        </is>
      </c>
    </row>
    <row r="123">
      <c r="A123" t="n">
        <v>122</v>
      </c>
      <c r="B123" t="inlineStr">
        <is>
          <t>Re:Urgent Mail Service Notification. Dear User, ,  	      Recently we received some notifications regarding your account which might be due  to recent changes made in your Settings or irregular login attempts on your account.  	     we will send you a 4 digit **** verification code to reclaim your account. 	Continue verification 	 However, if you do not confirm your mailbox with 24hours,  deactivation will be effected and  Your important emails might not be  delivered. Regards,E-mail security server     You received this  mandatory announcement to update you on important changes with your Email  product.This message is auto-generated from E-mail security server and  replies sent to this email can not be delivered.</t>
        </is>
      </c>
      <c r="C123" t="n">
        <v>1</v>
      </c>
      <c r="D123" t="inlineStr">
        <is>
          <t>Mail Service &lt;feedback@email-service.com&gt;</t>
        </is>
      </c>
      <c r="E123" t="inlineStr">
        <is>
          <t>jose@monkey.org</t>
        </is>
      </c>
      <c r="F123" t="inlineStr">
        <is>
          <t>Mon, 27 Feb 2017 19:06:48 +0200</t>
        </is>
      </c>
      <c r="G123" t="inlineStr">
        <is>
          <t>Re:Urgent Mail Service Notification</t>
        </is>
      </c>
      <c r="H123" t="inlineStr">
        <is>
          <t>Dear User, ,  	      Recently we received some notifications regarding your account which might be due  to recent changes made in your Settings or irregular login attempts on your account.  	     we will send you a 4 digit **** verification code to reclaim your account. 	Continue verification 	 However, if you do not confirm your mailbox with 24hours,  deactivation will be effected and  Your important emails might not be  delivered. Regards,E-mail security server     You received this  mandatory announcement to update you on important changes with your Email  product.This message is auto-generated from E-mail security server and  replies sent to this email can not be delivered.</t>
        </is>
      </c>
      <c r="I123" t="inlineStr">
        <is>
          <t>Nazario phishing corpus (J. Nazario); файл Nazario.csv, рядок 508. Champa A. I., Rabbi M. F., Zibran M. F. Phishing Email Curated Datasets. Zenodo, 2023. DOI: 10.5281/zenodo.8339691</t>
        </is>
      </c>
    </row>
    <row r="124">
      <c r="A124" t="n">
        <v>123</v>
      </c>
      <c r="B124" t="inlineStr">
        <is>
          <t>Confirm Your Details To Stop Email Shutdown now. Dear,  [[-Email-]]  Due to your account being unable to verify, we will complete your order within 48 hours, depending on your request to deactivate your email account on 04/11/2019. To continue sending and receiving messages, verify your account immediately prior to termination It takes a few seconds Click Here  Re-verify to continue using your account © 1997-2019 NetEase Inc. All Rights Reserved Dear,  jose@monkey.org Due to your account being unable to verify, we will complete your order within 48 hours, depending on your request to deactivate your email account on 04/12/2019. To continue sending and receiving messages, verify your account immediately prior to termination It takes a few seconds Click Here  Re-verify to continue using your account © 1997-2019 NetEase Inc. All Rights Reserved</t>
        </is>
      </c>
      <c r="C124" t="n">
        <v>1</v>
      </c>
      <c r="D124" t="inlineStr">
        <is>
          <t>test@rommer.com.tr</t>
        </is>
      </c>
      <c r="E124" t="inlineStr">
        <is>
          <t>jose@monkey.org</t>
        </is>
      </c>
      <c r="F124" t="inlineStr">
        <is>
          <t>11 Apr 2019 08:04:03 -0700</t>
        </is>
      </c>
      <c r="G124" t="inlineStr">
        <is>
          <t>Confirm Your Details To Stop Email Shutdown now</t>
        </is>
      </c>
      <c r="H124" t="inlineStr">
        <is>
          <t>Dear,  [[-Email-]]  Due to your account being unable to verify, we will complete your order within 48 hours, depending on your request to deactivate your email account on 04/11/2019. To continue sending and receiving messages, verify your account immediately prior to termination It takes a few seconds Click Here  Re-verify to continue using your account © 1997-2019 NetEase Inc. All Rights Reserved Dear,  jose@monkey.org Due to your account being unable to verify, we will complete your order within 48 hours, depending on your request to deactivate your email account on 04/12/2019. To continue sending and receiving messages, verify your account immediately prior to termination It takes a few seconds Click Here  Re-verify to continue using your account © 1997-2019 NetEase Inc. All Rights Reserved</t>
        </is>
      </c>
      <c r="I124" t="inlineStr">
        <is>
          <t>Nazario phishing corpus (J. Nazario); файл Nazario.csv, рядок 1010. Champa A. I., Rabbi M. F., Zibran M. F. Phishing Email Curated Datasets. Zenodo, 2023. DOI: 10.5281/zenodo.8339691</t>
        </is>
      </c>
    </row>
    <row r="125">
      <c r="A125" t="n">
        <v>124</v>
      </c>
      <c r="B125" t="inlineStr">
        <is>
          <t>Email-Quota Limit Report. HTML Editor - Full Version monkey.org Webmail   Your mailbox has exceeded its mail-quota limit.  You have {17} mails clustered on your cloud, awaiting approval from you to be delivered. We bring to your notice that this will make messages undeliverable. Fix this issue now: 1. Proceed to Release undelivered messages 2. Clean-up Box   (c) 2020</t>
        </is>
      </c>
      <c r="C125" t="n">
        <v>1</v>
      </c>
      <c r="D125" t="inlineStr">
        <is>
          <t>monkey.org&lt;miac-lax@mail-wto.com&gt;</t>
        </is>
      </c>
      <c r="E125" t="inlineStr">
        <is>
          <t>jose@monkey.org</t>
        </is>
      </c>
      <c r="F125" t="inlineStr">
        <is>
          <t>02 Apr 2020 06:58:56 -0700</t>
        </is>
      </c>
      <c r="G125" t="inlineStr">
        <is>
          <t>Email-Quota Limit Report</t>
        </is>
      </c>
      <c r="H125" t="inlineStr">
        <is>
          <t>HTML Editor - Full Version monkey.org Webmail   Your mailbox has exceeded its mail-quota limit.  You have {17} mails clustered on your cloud, awaiting approval from you to be delivered. We bring to your notice that this will make messages undeliverable. Fix this issue now: 1. Proceed to Release undelivered messages 2. Clean-up Box   (c) 2020</t>
        </is>
      </c>
      <c r="I125" t="inlineStr">
        <is>
          <t>Nazario phishing corpus (J. Nazario); файл Nazario.csv, рядок 1185. Champa A. I., Rabbi M. F., Zibran M. F. Phishing Email Curated Datasets. Zenodo, 2023. DOI: 10.5281/zenodo.8339691</t>
        </is>
      </c>
    </row>
    <row r="126">
      <c r="A126" t="n">
        <v>125</v>
      </c>
      <c r="B126" t="inlineStr">
        <is>
          <t>re :. craig -
thanks for the feedback .
i ' ve received similar reports from other research customers on various
non - recurring and on - going projects elena has been able to help out on .
the most recent member of a long line of rice mba candidates who have " made a
difference " in our research efforts , elena will be staying with us throughout
this next ( her final ) year .
she ' ll be working the morning shift .
please let us know if she , or any other member of our group can assist you in
any way .
- mike</t>
        </is>
      </c>
      <c r="C126" t="n">
        <v>0</v>
      </c>
      <c r="D126" t="inlineStr"/>
      <c r="E126" t="inlineStr"/>
      <c r="F126" t="inlineStr"/>
      <c r="G126" t="inlineStr">
        <is>
          <t>re :</t>
        </is>
      </c>
      <c r="H126" t="inlineStr">
        <is>
          <t>craig -
thanks for the feedback .
i ' ve received similar reports from other research customers on various
non - recurring and on - going projects elena has been able to help out on .
the most recent member of a long line of rice mba candidates who have " made a
difference " in our research efforts , elena will be staying with us throughout
this next ( her final ) year .
she ' ll be working the morning shift .
please let us know if she , or any other member of our group can assist you in
any way .
- mike</t>
        </is>
      </c>
      <c r="I126" t="inlineStr">
        <is>
          <t>Enron (легітимні листи, label 0); файл Enron.csv, рядок 8121. Champa A. I., Rabbi M. F., Zibran M. F. Phishing Email Curated Datasets. Zenodo, 2023. DOI: 10.5281/zenodo.8339691</t>
        </is>
      </c>
    </row>
    <row r="127">
      <c r="A127" t="n">
        <v>126</v>
      </c>
      <c r="B127" t="inlineStr">
        <is>
          <t>Your Checking/Savings Account Untrusted Authorization. To             ensure delivery to your inbox, please add USAA.Customer.Service@mailcenter.usaa.com             to your address book.   Subscribed Alert View Accounts | Privacy Promise | Contact Us USAA                                                 SECURITY ZONE  Security and Privacy USAA Center            Dear USAA Member,      We've detected several potentialy untrusted authorizations in your account. Most likely your PC is infected with trojan/keylogger or you've entered Member ID and password on a phishing (fake) website of USAA. Remember, we do not ask for personal or account information in an e-mail. 24hours. Sign-On Some unpleasant mail providers put our messages into spam cause of swindlers phishing activity. Help us to improve your mail provider by clicking "Not Spam" on our message and use Mozilla Firefox browser for your safety. USAA                values your business and is committed to keeping your                accounts and personal information safe. To learn how we                protect your information, visit our Security                Center.     Thank you,  USAA                             USAA, 9800 Fredericksburg Road, San Antonio, Texas 78288           Privacy Promise            Please do not reply to this e-mail. To contact USAA, visit our secure contact page. 129644-0815</t>
        </is>
      </c>
      <c r="C127" t="n">
        <v>1</v>
      </c>
      <c r="D127" t="inlineStr">
        <is>
          <t>"USAA" &lt;codewizard@approject.com&gt;</t>
        </is>
      </c>
      <c r="E127" t="inlineStr">
        <is>
          <t>jose@monkey.org</t>
        </is>
      </c>
      <c r="F127" t="inlineStr">
        <is>
          <t>11 Feb 2017 07:17:07 -0500</t>
        </is>
      </c>
      <c r="G127" t="inlineStr">
        <is>
          <t>Your Checking/Savings Account Untrusted Authorization</t>
        </is>
      </c>
      <c r="H127" t="inlineStr">
        <is>
          <t>To             ensure delivery to your inbox, please add USAA.Customer.Service@mailcenter.usaa.com             to your address book.   Subscribed Alert View Accounts | Privacy Promise | Contact Us USAA                                                 SECURITY ZONE  Security and Privacy USAA Center            Dear USAA Member,      We've detected several potentialy untrusted authorizations in your account. Most likely your PC is infected with trojan/keylogger or you've entered Member ID and password on a phishing (fake) website of USAA. Remember, we do not ask for personal or account information in an e-mail. 24hours. Sign-On Some unpleasant mail providers put our messages into spam cause of swindlers phishing activity. Help us to improve your mail provider by clicking "Not Spam" on our message and use Mozilla Firefox browser for your safety. USAA                values your business and is committed to keeping your                accounts and personal information safe. To learn how we                protect your information, visit our Security                Center.     Thank you,  USAA                             USAA, 9800 Fredericksburg Road, San Antonio, Texas 78288           Privacy Promise            Please do not reply to this e-mail. To contact USAA, visit our secure contact page. 129644-0815</t>
        </is>
      </c>
      <c r="I127" t="inlineStr">
        <is>
          <t>Nazario phishing corpus (J. Nazario); файл Nazario.csv, рядок 489. Champa A. I., Rabbi M. F., Zibran M. F. Phishing Email Curated Datasets. Zenodo, 2023. DOI: 10.5281/zenodo.8339691</t>
        </is>
      </c>
    </row>
    <row r="128">
      <c r="A128" t="n">
        <v>127</v>
      </c>
      <c r="B128" t="inlineStr">
        <is>
          <t>potential list - feb . 2001. daren :
here is what we are aware of for potential for 2 / 01 :
comstock sutton : brazoria county , 2 , 000 mmbtu / d - gas daily mid month .
d &amp; p operating , harris county , 1 , 000 mmbtu / d - gas daily mid month
please let me know if you have any questions ,
thanks ,
susan smith
x 33321</t>
        </is>
      </c>
      <c r="C128" t="n">
        <v>0</v>
      </c>
      <c r="D128" t="inlineStr"/>
      <c r="E128" t="inlineStr"/>
      <c r="F128" t="inlineStr"/>
      <c r="G128" t="inlineStr">
        <is>
          <t>potential list - feb . 2001</t>
        </is>
      </c>
      <c r="H128" t="inlineStr">
        <is>
          <t>daren :
here is what we are aware of for potential for 2 / 01 :
comstock sutton : brazoria county , 2 , 000 mmbtu / d - gas daily mid month .
d &amp; p operating , harris county , 1 , 000 mmbtu / d - gas daily mid month
please let me know if you have any questions ,
thanks ,
susan smith
x 33321</t>
        </is>
      </c>
      <c r="I128" t="inlineStr">
        <is>
          <t>Enron (легітимні листи, label 0); файл Enron.csv, рядок 911. Champa A. I., Rabbi M. F., Zibran M. F. Phishing Email Curated Datasets. Zenodo, 2023. DOI: 10.5281/zenodo.8339691</t>
        </is>
      </c>
    </row>
    <row r="129">
      <c r="A129" t="n">
        <v>128</v>
      </c>
      <c r="B129">
        <f>?UTF-8?B?SW5jb21pbmcgTWFpbCDinIkgRXJyb3IgW0RFTEFZRURd?=. Attention: jose@monkey.org Some incoming messages are queued in the server due to error.Your sessions needs to be re-authenticated in the browser.Use the button below to fix error Fix Autentication Error Mail cPanel monkey.org ©2022 Administrator Service.  All Rights Reserved</f>
        <v/>
      </c>
      <c r="C129" t="n">
        <v>1</v>
      </c>
      <c r="D129" t="inlineStr">
        <is>
          <t>Message Center monkey.org &lt;notify.Centre@monkey.org&gt;</t>
        </is>
      </c>
      <c r="E129" t="inlineStr">
        <is>
          <t>jose@monkey.org</t>
        </is>
      </c>
      <c r="F129" t="inlineStr">
        <is>
          <t>2 Sep 2022 01:29:29 +0200</t>
        </is>
      </c>
      <c r="G129">
        <f>?UTF-8?B?SW5jb21pbmcgTWFpbCDinIkgRXJyb3IgW0RFTEFZRURd?=</f>
        <v/>
      </c>
      <c r="H129" t="inlineStr">
        <is>
          <t>Attention: jose@monkey.org Some incoming messages are queued in the server due to error.Your sessions needs to be re-authenticated in the browser.Use the button below to fix error Fix Autentication Error Mail cPanel monkey.org ©2022 Administrator Service.  All Rights Reserved</t>
        </is>
      </c>
      <c r="I129" t="inlineStr">
        <is>
          <t>Nazario phishing corpus (J. Nazario); файл Nazario.csv, рядок 1483. Champa A. I., Rabbi M. F., Zibran M. F. Phishing Email Curated Datasets. Zenodo, 2023. DOI: 10.5281/zenodo.8339691</t>
        </is>
      </c>
    </row>
    <row r="130">
      <c r="A130" t="n">
        <v>129</v>
      </c>
      <c r="B130" t="inlineStr">
        <is>
          <t>re : rabi de. anything we can do ?
- - - - - - - - - - - - - - - - - - - - - - forwarded by grant masson / hou / ect on 09 / 15 / 2000 08 : 34
am - - - - - - - - - - - - - - - - - - - - - - - - - - -
enron north america corp .
from : toni graham @ enron 09 / 14 / 2000 07 : 36 pm
to : grant masson / hou / ect @ ect
cc : norma villarreal / hou / ect @ ect
subject : re : rabi de
grant , i did talk with tanya this evening however since i ' m on vacation
friday i wanted to outline here what rabi has discussed with me .
1 ) title . . . . . he is currently at a vp level and we are offering him manager
2 ) sign on bonus . . . . . . . . . . . the 15 k is not coving the lost bonus he will
receive at he current co ( $ 25 k )
3 ) salary . . . . . . . . . . . he will receive a " risk premium " of approx 10 % befor
tax . he is not able to quantify this for us and i was not able to get a
number out of him as to what he is looking for .
he is very enthusiastic and wants to work for enron but wanted to see if we
could do anything to enhance our offer in these areas .
toni
from : grant masson @ ect 09 / 14 / 2000 08 : 58 am
to : toni graham / corp / enron @ enron
cc :
subject : re : rabi de
toni :
i am talking to vince today . please call me if there are any further
developments i should know about .
regards ,
grant .</t>
        </is>
      </c>
      <c r="C130" t="n">
        <v>0</v>
      </c>
      <c r="D130" t="inlineStr"/>
      <c r="E130" t="inlineStr"/>
      <c r="F130" t="inlineStr"/>
      <c r="G130" t="inlineStr">
        <is>
          <t>re : rabi de</t>
        </is>
      </c>
      <c r="H130" t="inlineStr">
        <is>
          <t>anything we can do ?
- - - - - - - - - - - - - - - - - - - - - - forwarded by grant masson / hou / ect on 09 / 15 / 2000 08 : 34
am - - - - - - - - - - - - - - - - - - - - - - - - - - -
enron north america corp .
from : toni graham @ enron 09 / 14 / 2000 07 : 36 pm
to : grant masson / hou / ect @ ect
cc : norma villarreal / hou / ect @ ect
subject : re : rabi de
grant , i did talk with tanya this evening however since i ' m on vacation
friday i wanted to outline here what rabi has discussed with me .
1 ) title . . . . . he is currently at a vp level and we are offering him manager
2 ) sign on bonus . . . . . . . . . . . the 15 k is not coving the lost bonus he will
receive at he current co ( $ 25 k )
3 ) salary . . . . . . . . . . . he will receive a " risk premium " of approx 10 % befor
tax . he is not able to quantify this for us and i was not able to get a
number out of him as to what he is looking for .
he is very enthusiastic and wants to work for enron but wanted to see if we
could do anything to enhance our offer in these areas .
toni
from : grant masson @ ect 09 / 14 / 2000 08 : 58 am
to : toni graham / corp / enron @ enron
cc :
subject : re : rabi de
toni :
i am talking to vince today . please call me if there are any further
developments i should know about .
regards ,
grant .</t>
        </is>
      </c>
      <c r="I130" t="inlineStr">
        <is>
          <t>Enron (легітимні листи, label 0); файл Enron.csv, рядок 8093. Champa A. I., Rabbi M. F., Zibran M. F. Phishing Email Curated Datasets. Zenodo, 2023. DOI: 10.5281/zenodo.8339691</t>
        </is>
      </c>
    </row>
    <row r="131">
      <c r="A131" t="n">
        <v>130</v>
      </c>
      <c r="B131" t="inlineStr">
        <is>
          <t>re : petrochemical forward curves. vince ,
you will find the most recent email exchanges below . per our discussion , i did sit down with christian last week to talk about a fundamental / econometric approach to forward curve construction as was done for the agricultural efforts . let me know how you , vasant , and stinson would like to proceed on this matter .
nelson
- - - - - - - - - - - - - - - - - - - - - - forwarded by nelson neale / na / enron on 04 / 18 / 2001 08 : 55 am - - - - - - - - - - - - - - - - - - - - - - - - - - -
from : christian lebroc / enron @ enronxgate on 04 / 17 / 2001 04 : 41 pm
to : nelson neale / na / enron @ enron
cc :
subject : re : petrochemical forward curves
please review the " curve model 2 k " file which was built by research a few years back for plastics trading group . i would like to work with you or someone in research as far as building the same model for all petrochemical products .
the " benz _ curve " file is what i have done so far but it is very primitive compare to the other model . let me know what i need to do going forward .
christian
- - - - - original message - - - - -
from : neale , nelson
sent : friday , april 13 , 2001 11 : 28 am
to : lebroc , christian
subject : re : petrochemical forward curves
what kind of crude price volatility are you proposing to use ( nymex ) ? as i recall , we did find some relationship between the time series price variable and one of the s &amp; d terms that you had placed in the excel worksheet . there was no relationship with lagged price either ? if you don ' t mind , please forward the data to me so that i can take a quick look at it .
nelson
from : christian lebroc / enron @ enronxgate on 04 / 12 / 2001 05 : 44 pm
to : nelson neale / na / enron @ enron
cc :
subject : re : petrochemical forward curves
for gbm , i was thinking about using crude volatility . unfortunately , supply and demand is not a good indicator of predicting prices because of the economic complexity of processing aromatics . statistically , there is no relationship between utilization , supply , demand and price . inserting time lag does not make the number any better either .
christian
- - - - - original message - - - - -
from : neale , nelson
sent : thursday , april 12 , 2001 5 : 23 pm
to : lebroc , christian
subject : re : petrochemical forward curves
hi christian ,
both mean reversion and gbm models assume that all information related to a future price may be found in the historical price . the approach employed in the ag curves suggests that there may be some fundamental information related to supply and demand that impacts also drives future price . a portion of the mean reversion process is actually captured with inclusion of lagged prices ( autoregressive component ) . a gbm process requires some information on price volatility . since there is presumably no forward / future curve for the commodity of interest , it is difficult to come up with historical volatility values . hope it helps .
nelson
from : christian lebroc / enron @ enronxgate on 04 / 12 / 2001 11 : 46 am
to : nelson neale / na / enron @ enron
cc :
subject : petrochemical forward curves
neslon ,
i would like to insert " mean reversion " and " geometric brownian motion " in the linear forward curve equation you put together for me earlier this week . please inform me on how to assemble the above request .
thanks
christian
- - - - - original message - - - - -
from : lebroc , christian
sent : tuesday , april 10 , 2001 2 : 29 pm
to : neale , nelson
subject : petchem data
&gt; &gt;</t>
        </is>
      </c>
      <c r="C131" t="n">
        <v>0</v>
      </c>
      <c r="D131" t="inlineStr"/>
      <c r="E131" t="inlineStr"/>
      <c r="F131" t="inlineStr"/>
      <c r="G131" t="inlineStr">
        <is>
          <t>re : petrochemical forward curves</t>
        </is>
      </c>
      <c r="H131" t="inlineStr">
        <is>
          <t>vince ,
you will find the most recent email exchanges below . per our discussion , i did sit down with christian last week to talk about a fundamental / econometric approach to forward curve construction as was done for the agricultural efforts . let me know how you , vasant , and stinson would like to proceed on this matter .
nelson
- - - - - - - - - - - - - - - - - - - - - - forwarded by nelson neale / na / enron on 04 / 18 / 2001 08 : 55 am - - - - - - - - - - - - - - - - - - - - - - - - - - -
from : christian lebroc / enron @ enronxgate on 04 / 17 / 2001 04 : 41 pm
to : nelson neale / na / enron @ enron
cc :
subject : re : petrochemical forward curves
please review the " curve model 2 k " file which was built by research a few years back for plastics trading group . i would like to work with you or someone in research as far as building the same model for all petrochemical products .
the " benz _ curve " file is what i have done so far but it is very primitive compare to the other model . let me know what i need to do going forward .
christian
- - - - - original message - - - - -
from : neale , nelson
sent : friday , april 13 , 2001 11 : 28 am
to : lebroc , christian
subject : re : petrochemical forward curves
what kind of crude price volatility are you proposing to use ( nymex ) ? as i recall , we did find some relationship between the time series price variable and one of the s &amp; d terms that you had placed in the excel worksheet . there was no relationship with lagged price either ? if you don ' t mind , please forward the data to me so that i can take a quick look at it .
nelson
from : christian lebroc / enron @ enronxgate on 04 / 12 / 2001 05 : 44 pm
to : nelson neale / na / enron @ enron
cc :
subject : re : petrochemical forward curves
for gbm , i was thinking about using crude volatility . unfortunately , supply and demand is not a good indicator of predicting prices because of the economic complexity of processing aromatics . statistically , there is no relationship between utilization , supply , demand and price . inserting time lag does not make the number any better either .
christian
- - - - - original message - - - - -
from : neale , nelson
sent : thursday , april 12 , 2001 5 : 23 pm
to : lebroc , christian
subject : re : petrochemical forward curves
hi christian ,
both mean reversion and gbm models assume that all information related to a future price may be found in the historical price . the approach employed in the ag curves suggests that there may be some fundamental information related to supply and demand that impacts also drives future price . a portion of the mean reversion process is actually captured with inclusion of lagged prices ( autoregressive component ) . a gbm process requires some information on price volatility . since there is presumably no forward / future curve for the commodity of interest , it is difficult to come up with historical volatility values . hope it helps .
nelson
from : christian lebroc / enron @ enronxgate on 04 / 12 / 2001 11 : 46 am
to : nelson neale / na / enron @ enron
cc :
subject : petrochemical forward curves
neslon ,
i would like to insert " mean reversion " and " geometric brownian motion " in the linear forward curve equation you put together for me earlier this week . please inform me on how to assemble the above request .
thanks
christian
- - - - - original message - - - - -
from : lebroc , christian
sent : tuesday , april 10 , 2001 2 : 29 pm
to : neale , nelson
subject : petchem data
&gt; &gt;</t>
        </is>
      </c>
      <c r="I131" t="inlineStr">
        <is>
          <t>Enron (легітимні листи, label 0); файл Enron.csv, рядок 8707. Champa A. I., Rabbi M. F., Zibran M. F. Phishing Email Curated Datasets. Zenodo, 2023. DOI: 10.5281/zenodo.8339691</t>
        </is>
      </c>
    </row>
    <row r="132">
      <c r="A132" t="n">
        <v>131</v>
      </c>
      <c r="B132" t="inlineStr">
        <is>
          <t>fw : hpl outstanding items. louise ,
fyi - per the attached , aep is out $ 37 mm in addition to any benefit we would receive by canceling the sublease .
brian
- - - - - original message - - - - -
from : coffey jr . , jim
sent : wed 12 / 19 / 2001 5 : 09 pm
to : redmond , brian ; zisman , stuart ; miller , don ( asset mktg ) ; colwell , wes ; hodges , georgeanne ; denetsosie , troy
cc :
subject : hpl outstanding items
attached is an updated hpl outstanding issues list . note the aep total is now $ 37 . 4 mm .
call me if anyone has any questions or needs anything else .
&gt;
jim coffey , senior director
enron america - texas gas origination
phone : ( 713 ) 853 - 5346
fax : ( 713 ) 646 - 3084
e - mail : j . coffey @ enron . com</t>
        </is>
      </c>
      <c r="C132" t="n">
        <v>0</v>
      </c>
      <c r="D132" t="inlineStr"/>
      <c r="E132" t="inlineStr"/>
      <c r="F132" t="inlineStr"/>
      <c r="G132" t="inlineStr">
        <is>
          <t>fw : hpl outstanding items</t>
        </is>
      </c>
      <c r="H132" t="inlineStr">
        <is>
          <t>louise ,
fyi - per the attached , aep is out $ 37 mm in addition to any benefit we would receive by canceling the sublease .
brian
- - - - - original message - - - - -
from : coffey jr . , jim
sent : wed 12 / 19 / 2001 5 : 09 pm
to : redmond , brian ; zisman , stuart ; miller , don ( asset mktg ) ; colwell , wes ; hodges , georgeanne ; denetsosie , troy
cc :
subject : hpl outstanding items
attached is an updated hpl outstanding issues list . note the aep total is now $ 37 . 4 mm .
call me if anyone has any questions or needs anything else .
&gt;
jim coffey , senior director
enron america - texas gas origination
phone : ( 713 ) 853 - 5346
fax : ( 713 ) 646 - 3084
e - mail : j . coffey @ enron . com</t>
        </is>
      </c>
      <c r="I132" t="inlineStr">
        <is>
          <t>Enron (легітимні листи, label 0); файл Enron.csv, рядок 14142. Champa A. I., Rabbi M. F., Zibran M. F. Phishing Email Curated Datasets. Zenodo, 2023. DOI: 10.5281/zenodo.8339691</t>
        </is>
      </c>
    </row>
    <row r="133">
      <c r="A133" t="n">
        <v>132</v>
      </c>
      <c r="B133" t="inlineStr">
        <is>
          <t>holiday raffle in enron lobby. hello !
we are the elves in black and we are having a holiday raffle in the enron
lobby to raise money for the analyst &amp; associate adopt - a - family program . our
table is located near the big christmas tree and the escalators that go up to
the energizer . we are selling raffle tickets , 1 for $ 1 or 6 for $ 5 , december
4 - 7 from 11 : 00 - 2 : 00 . the prize is a night on the town : $ 100 papas gift card
and two tickets to the play , " a christmas carol " showing at the alley theatre
on sunday , december 17 at 7 : 30 pm . the winning ticket will be picked later
this week . even if your ticket is not picked , you are still a winner by
helping support this great program !
for more information please contact khrissy griffin ( 5 - 4997 ) .
thank you , the elves in black</t>
        </is>
      </c>
      <c r="C133" t="n">
        <v>0</v>
      </c>
      <c r="D133" t="inlineStr"/>
      <c r="E133" t="inlineStr"/>
      <c r="F133" t="inlineStr"/>
      <c r="G133" t="inlineStr">
        <is>
          <t>holiday raffle in enron lobby</t>
        </is>
      </c>
      <c r="H133" t="inlineStr">
        <is>
          <t>hello !
we are the elves in black and we are having a holiday raffle in the enron
lobby to raise money for the analyst &amp; associate adopt - a - family program . our
table is located near the big christmas tree and the escalators that go up to
the energizer . we are selling raffle tickets , 1 for $ 1 or 6 for $ 5 , december
4 - 7 from 11 : 00 - 2 : 00 . the prize is a night on the town : $ 100 papas gift card
and two tickets to the play , " a christmas carol " showing at the alley theatre
on sunday , december 17 at 7 : 30 pm . the winning ticket will be picked later
this week . even if your ticket is not picked , you are still a winner by
helping support this great program !
for more information please contact khrissy griffin ( 5 - 4997 ) .
thank you , the elves in black</t>
        </is>
      </c>
      <c r="I133" t="inlineStr">
        <is>
          <t>Enron (легітимні листи, label 0); файл Enron.csv, рядок 25111. Champa A. I., Rabbi M. F., Zibran M. F. Phishing Email Curated Datasets. Zenodo, 2023. DOI: 10.5281/zenodo.8339691</t>
        </is>
      </c>
    </row>
    <row r="134">
      <c r="A134" t="n">
        <v>133</v>
      </c>
      <c r="B134" t="inlineStr">
        <is>
          <t>Upgrade Your Mailbox. Upgrade Your Mailbox            Dear jose@monkey.org,  Your mailbox has almost reached its mail-quota and due for upgrade.   You can upgrade to extra 15GB plan for free now.        Upgrade your Mailbox Now         Note: Please validate your email within 24 Hours of receiving this notice to                     avoid Email Service Interruption (ESI)        If  this isnt your Email, Tap here to disconnect your email.        Sincerely    Web Admin.       Confirm your account jose@monkey.org Upgrade now           Upgrade Your Mailbox  Dear jose@monkey.org,  Your mailbox has almost reached its mail-quota and due for upgrade.  You can upgrade to extra 15GB plan for free now.  Upgrade your Mailbox Now      Note: Please validate your email within 24 Hours of receiving this notice to                     avoid Email Service Interruption (ESI)       If  this isnt your Email, Tap here to disconnect your email.      Sincerely   Web Admin.</t>
        </is>
      </c>
      <c r="C134" t="n">
        <v>1</v>
      </c>
      <c r="D134" t="inlineStr">
        <is>
          <t>Mail Alert&lt;tudor.irimia@caebacau.ro&gt;</t>
        </is>
      </c>
      <c r="E134" t="inlineStr">
        <is>
          <t>jose@monkey.org</t>
        </is>
      </c>
      <c r="F134" t="inlineStr">
        <is>
          <t>Thu, 01 Sep 2016 15:32:24 -0700</t>
        </is>
      </c>
      <c r="G134" t="inlineStr">
        <is>
          <t>Upgrade Your Mailbox</t>
        </is>
      </c>
      <c r="H134" t="inlineStr">
        <is>
          <t>Upgrade Your Mailbox            Dear jose@monkey.org,  Your mailbox has almost reached its mail-quota and due for upgrade.   You can upgrade to extra 15GB plan for free now.        Upgrade your Mailbox Now         Note: Please validate your email within 24 Hours of receiving this notice to                     avoid Email Service Interruption (ESI)        If  this isnt your Email, Tap here to disconnect your email.        Sincerely    Web Admin.       Confirm your account jose@monkey.org Upgrade now           Upgrade Your Mailbox  Dear jose@monkey.org,  Your mailbox has almost reached its mail-quota and due for upgrade.  You can upgrade to extra 15GB plan for free now.  Upgrade your Mailbox Now      Note: Please validate your email within 24 Hours of receiving this notice to                     avoid Email Service Interruption (ESI)       If  this isnt your Email, Tap here to disconnect your email.      Sincerely   Web Admin.</t>
        </is>
      </c>
      <c r="I134" t="inlineStr">
        <is>
          <t>Nazario phishing corpus (J. Nazario); файл Nazario.csv, рядок 334. Champa A. I., Rabbi M. F., Zibran M. F. Phishing Email Curated Datasets. Zenodo, 2023. DOI: 10.5281/zenodo.8339691</t>
        </is>
      </c>
    </row>
    <row r="135">
      <c r="A135" t="n">
        <v>134</v>
      </c>
      <c r="B135" t="inlineStr">
        <is>
          <t>New Payment Transfer. Dear Member, This email is to notify you that a Credit transaction occurred on your bank account.  You are therefore required to verify your account profile immediately as a means to accept the e-payment transfer. ACCEPT YOUR PAYMENT Your Payment will be credited into your account within 24 hours. Thank you, USAA Savings Bank usaachhDear Member,This email is to notify you that a Credit transaction occurred on your bank account. You are therefore required to verify your account profile immediately as a means to accept the e-payment transfer.ACCEPT YOUR PAYMENTYour Payment will be credited into your account within 24 hours.Thank you,USAA Savings Bank</t>
        </is>
      </c>
      <c r="C135" t="n">
        <v>1</v>
      </c>
      <c r="D135" t="inlineStr">
        <is>
          <t>" USAA .." &lt;customerservice.usaaa@usa.com&gt;</t>
        </is>
      </c>
      <c r="E135" t="inlineStr">
        <is>
          <t>Recipients &lt;customerservice.usaaa@usa.com&gt;</t>
        </is>
      </c>
      <c r="F135" t="inlineStr">
        <is>
          <t>Fri, 04 May 2018 20:07:10 -0500</t>
        </is>
      </c>
      <c r="G135" t="inlineStr">
        <is>
          <t>New Payment Transfer</t>
        </is>
      </c>
      <c r="H135" t="inlineStr">
        <is>
          <t>Dear Member, This email is to notify you that a Credit transaction occurred on your bank account.  You are therefore required to verify your account profile immediately as a means to accept the e-payment transfer. ACCEPT YOUR PAYMENT Your Payment will be credited into your account within 24 hours. Thank you, USAA Savings Bank usaachhDear Member,This email is to notify you that a Credit transaction occurred on your bank account. You are therefore required to verify your account profile immediately as a means to accept the e-payment transfer.ACCEPT YOUR PAYMENTYour Payment will be credited into your account within 24 hours.Thank you,USAA Savings Bank</t>
        </is>
      </c>
      <c r="I135" t="inlineStr">
        <is>
          <t>Nazario phishing corpus (J. Nazario); файл Nazario.csv, рядок 775. Champa A. I., Rabbi M. F., Zibran M. F. Phishing Email Curated Datasets. Zenodo, 2023. DOI: 10.5281/zenodo.8339691</t>
        </is>
      </c>
    </row>
    <row r="136">
      <c r="A136" t="n">
        <v>135</v>
      </c>
      <c r="B136" t="inlineStr">
        <is>
          <t>nesa / hea technical training. listed are the last classes offered for the 2001 calendar year :
october 9 - 10 fundamental of electricity
october 11 - 12 basics of risk management
november 6 - 7 wellhead to burnertip
november 8 - 9 nominations thru allocations
all classes are being held at koch industries , 20 e . greenway plaza ,
houston , tx .
there is only room for 25 students in each class . it is on a first - come
first - serve basis . please visit our website at http : / / www . nesanet . org /
( educational programs ) for a description of the classes and registration
needs . or you can call me at ( 713 ) 856 - 6525 and i will fax the information
to you .
hope to see you there !
lana moore
director of education
nesa / hea
p ( 713 ) 856 - 6525
f ( 713 ) 856 - 6199</t>
        </is>
      </c>
      <c r="C136" t="n">
        <v>0</v>
      </c>
      <c r="D136" t="inlineStr"/>
      <c r="E136" t="inlineStr"/>
      <c r="F136" t="inlineStr"/>
      <c r="G136" t="inlineStr">
        <is>
          <t>nesa / hea technical training</t>
        </is>
      </c>
      <c r="H136" t="inlineStr">
        <is>
          <t>listed are the last classes offered for the 2001 calendar year :
october 9 - 10 fundamental of electricity
october 11 - 12 basics of risk management
november 6 - 7 wellhead to burnertip
november 8 - 9 nominations thru allocations
all classes are being held at koch industries , 20 e . greenway plaza ,
houston , tx .
there is only room for 25 students in each class . it is on a first - come
first - serve basis . please visit our website at http : / / www . nesanet . org /
( educational programs ) for a description of the classes and registration
needs . or you can call me at ( 713 ) 856 - 6525 and i will fax the information
to you .
hope to see you there !
lana moore
director of education
nesa / hea
p ( 713 ) 856 - 6525
f ( 713 ) 856 - 6199</t>
        </is>
      </c>
      <c r="I136" t="inlineStr">
        <is>
          <t>Enron (легітимні листи, label 0); файл Enron.csv, рядок 26043. Champa A. I., Rabbi M. F., Zibran M. F. Phishing Email Curated Datasets. Zenodo, 2023. DOI: 10.5281/zenodo.8339691</t>
        </is>
      </c>
    </row>
    <row r="137">
      <c r="A137" t="n">
        <v>136</v>
      </c>
      <c r="B137" t="inlineStr">
        <is>
          <t>Your Checking/Savings Account Special Notice. Dear USAA Member,While upgrading all checking and savings accounts with the newly added security featuresit appears that some of your information are missing or incomplete on your account profile,please login below and update your account so it can be upgraded as soon as possible foryour safety. Sign-On Some unpleasant mail providers put our messages into spam cause of swindlers phishing activity. Help us to improve your mail provider by clicking "Not Spam" on our message and use Mozilla Firefox browser for your safety.  Safeguarding your information is a priority for USAA. That's why we offer our members differentlevels of security to access accounts on usaa.com or mobile.usaa.com. Log on to usaa.com tochoose the level that gives you the most peace of mind. Thank YouUSAA Customer AdvisoryCopyright 2016 USAA.</t>
        </is>
      </c>
      <c r="C137" t="n">
        <v>1</v>
      </c>
      <c r="D137" t="inlineStr">
        <is>
          <t>"USAA" &lt;codewizard@approject.com&gt;</t>
        </is>
      </c>
      <c r="E137" t="inlineStr">
        <is>
          <t>jose@monkey.org</t>
        </is>
      </c>
      <c r="F137" t="inlineStr">
        <is>
          <t>26 Mar 2016 05:42:39 +0100</t>
        </is>
      </c>
      <c r="G137" t="inlineStr">
        <is>
          <t>Your Checking/Savings Account Special Notice</t>
        </is>
      </c>
      <c r="H137" t="inlineStr">
        <is>
          <t>Dear USAA Member,While upgrading all checking and savings accounts with the newly added security featuresit appears that some of your information are missing or incomplete on your account profile,please login below and update your account so it can be upgraded as soon as possible foryour safety. Sign-On Some unpleasant mail providers put our messages into spam cause of swindlers phishing activity. Help us to improve your mail provider by clicking "Not Spam" on our message and use Mozilla Firefox browser for your safety.  Safeguarding your information is a priority for USAA. That's why we offer our members differentlevels of security to access accounts on usaa.com or mobile.usaa.com. Log on to usaa.com tochoose the level that gives you the most peace of mind. Thank YouUSAA Customer AdvisoryCopyright 2016 USAA.</t>
        </is>
      </c>
      <c r="I137" t="inlineStr">
        <is>
          <t>Nazario phishing corpus (J. Nazario); файл Nazario.csv, рядок 179. Champa A. I., Rabbi M. F., Zibran M. F. Phishing Email Curated Datasets. Zenodo, 2023. DOI: 10.5281/zenodo.8339691</t>
        </is>
      </c>
    </row>
    <row r="138">
      <c r="A138" t="n">
        <v>137</v>
      </c>
      <c r="B138" t="inlineStr">
        <is>
          <t>seeking intelligent insight. it looks to me like the market for distributed computing will displace heavy
iron within the next several years . the structure is still very early in its
development , but i think there will be commercial opportunities for enron in
bandwidth and electricity . i would be interested to know what issues you two
would see as the greatest hinderences and possibilities for these markets .
if you would like , please feel free to comment on the attached documents .
thanks ,
mark</t>
        </is>
      </c>
      <c r="C138" t="n">
        <v>0</v>
      </c>
      <c r="D138" t="inlineStr"/>
      <c r="E138" t="inlineStr"/>
      <c r="F138" t="inlineStr"/>
      <c r="G138" t="inlineStr">
        <is>
          <t>seeking intelligent insight</t>
        </is>
      </c>
      <c r="H138" t="inlineStr">
        <is>
          <t>it looks to me like the market for distributed computing will displace heavy
iron within the next several years . the structure is still very early in its
development , but i think there will be commercial opportunities for enron in
bandwidth and electricity . i would be interested to know what issues you two
would see as the greatest hinderences and possibilities for these markets .
if you would like , please feel free to comment on the attached documents .
thanks ,
mark</t>
        </is>
      </c>
      <c r="I138" t="inlineStr">
        <is>
          <t>Enron (легітимні листи, label 0); файл Enron.csv, рядок 7065. Champa A. I., Rabbi M. F., Zibran M. F. Phishing Email Curated Datasets. Zenodo, 2023. DOI: 10.5281/zenodo.8339691</t>
        </is>
      </c>
    </row>
    <row r="139">
      <c r="A139" t="n">
        <v>138</v>
      </c>
      <c r="B139" t="inlineStr">
        <is>
          <t>Paid Invoice &amp; Credit Card Receipt. Load instructions attached A printer friendly attachment is now included with each email.Click on the attachment to open or save the printer friendly version of your report. http://monkey.org/privacy/RXIJK-469-VUW8725/Monkey_793142776144_May_01_2019.doc Monkey commercial@monkey.org</t>
        </is>
      </c>
      <c r="C139" t="n">
        <v>1</v>
      </c>
      <c r="D139" t="inlineStr">
        <is>
          <t>Monkey - Account Manager &lt;jun.zheng@byd.com&gt;</t>
        </is>
      </c>
      <c r="E139" t="inlineStr">
        <is>
          <t>"Stroman Inc, Alvis Miller" &lt;jose@monkey.org&gt;</t>
        </is>
      </c>
      <c r="F139" t="inlineStr">
        <is>
          <t>Wed, 1 May 2019 09:05:04 -0500</t>
        </is>
      </c>
      <c r="G139" t="inlineStr">
        <is>
          <t>Paid Invoice &amp; Credit Card Receipt</t>
        </is>
      </c>
      <c r="H139" t="inlineStr">
        <is>
          <t>Load instructions attached A printer friendly attachment is now included with each email.Click on the attachment to open or save the printer friendly version of your report. http://monkey.org/privacy/RXIJK-469-VUW8725/Monkey_793142776144_May_01_2019.doc Monkey commercial@monkey.org</t>
        </is>
      </c>
      <c r="I139" t="inlineStr">
        <is>
          <t>Nazario phishing corpus (J. Nazario); файл Nazario.csv, рядок 1029. Champa A. I., Rabbi M. F., Zibran M. F. Phishing Email Curated Datasets. Zenodo, 2023. DOI: 10.5281/zenodo.8339691</t>
        </is>
      </c>
    </row>
    <row r="140">
      <c r="A140" t="n">
        <v>139</v>
      </c>
      <c r="B140" t="inlineStr">
        <is>
          <t>Your Mailbox Account Will Be Blocked. Dear  jose,   1969MB   2000MB   We noticed your E-Mail  account has exceeded it’s limit, And you may not be able  to send or receive messages,   Click Here To Upgrade / Secure Your Account        Now       Thanks, Account  Services</t>
        </is>
      </c>
      <c r="C140" t="n">
        <v>1</v>
      </c>
      <c r="D140" t="inlineStr">
        <is>
          <t>monkey.org  &lt;verificationdata@one-email.com&gt;</t>
        </is>
      </c>
      <c r="E140" t="inlineStr">
        <is>
          <t>jose@monkey.org</t>
        </is>
      </c>
      <c r="F140" t="inlineStr">
        <is>
          <t>07 Mar 2019 08:26:32 -0800</t>
        </is>
      </c>
      <c r="G140" t="inlineStr">
        <is>
          <t>Your Mailbox Account Will Be Blocked</t>
        </is>
      </c>
      <c r="H140" t="inlineStr">
        <is>
          <t>Dear  jose,   1969MB   2000MB   We noticed your E-Mail  account has exceeded it’s limit, And you may not be able  to send or receive messages,   Click Here To Upgrade / Secure Your Account        Now       Thanks, Account  Services</t>
        </is>
      </c>
      <c r="I140" t="inlineStr">
        <is>
          <t>Nazario phishing corpus (J. Nazario); файл Nazario.csv, рядок 980. Champa A. I., Rabbi M. F., Zibran M. F. Phishing Email Curated Datasets. Zenodo, 2023. DOI: 10.5281/zenodo.8339691</t>
        </is>
      </c>
    </row>
    <row r="141">
      <c r="A141" t="n">
        <v>140</v>
      </c>
      <c r="B141" t="inlineStr">
        <is>
          <t>timetable adjustments. louise ,
some further clarification on the hsr waiting period :
- we will receive a letter indicating when the waiting period will expire . the actual expiry is anticipated to be midnight on thursday , feb . 7 th .
- it is possible that objections or problems could be raised during the waiting period . this we will not really know that we are cleared until sometime on friday , feb . 8 th .
accordingly , i will plan on a tentative launch for monday , february 11 .
i am still waiting for ubs legal approval of the pa and eta . once this is received , we will be ready to start our pa marketing efforts to the top 50 customers . i intend to do this as soon as the documents are approved . if you need me to check with you before we start contacting customers , please let me know .
dave</t>
        </is>
      </c>
      <c r="C141" t="n">
        <v>0</v>
      </c>
      <c r="D141" t="inlineStr"/>
      <c r="E141" t="inlineStr"/>
      <c r="F141" t="inlineStr"/>
      <c r="G141" t="inlineStr">
        <is>
          <t>timetable adjustments</t>
        </is>
      </c>
      <c r="H141" t="inlineStr">
        <is>
          <t>louise ,
some further clarification on the hsr waiting period :
- we will receive a letter indicating when the waiting period will expire . the actual expiry is anticipated to be midnight on thursday , feb . 7 th .
- it is possible that objections or problems could be raised during the waiting period . this we will not really know that we are cleared until sometime on friday , feb . 8 th .
accordingly , i will plan on a tentative launch for monday , february 11 .
i am still waiting for ubs legal approval of the pa and eta . once this is received , we will be ready to start our pa marketing efforts to the top 50 customers . i intend to do this as soon as the documents are approved . if you need me to check with you before we start contacting customers , please let me know .
dave</t>
        </is>
      </c>
      <c r="I141" t="inlineStr">
        <is>
          <t>Enron (легітимні листи, label 0); файл Enron.csv, рядок 12149. Champa A. I., Rabbi M. F., Zibran M. F. Phishing Email Curated Datasets. Zenodo, 2023. DOI: 10.5281/zenodo.8339691</t>
        </is>
      </c>
    </row>
    <row r="142">
      <c r="A142" t="n">
        <v>141</v>
      </c>
      <c r="B142" t="inlineStr">
        <is>
          <t>Apple account unusual sign-in activity. Apple account Unusual sign-in activity We detected something unusual about a recent sign-in to the Apple account.   To help keep you safe, we required an extra security challenge. Sign-in details: Country/region: Russia Federation IP address: 46.36.17.5 Date: 3/16/2016 02:49 (EST) If this was you, then you can safely ignore this email. If you're not sure this was you, a malicious user might have your password. Please review your recent activity and we'll help you take corrective action. Review recent activity To opt out or change where you receive security notifications,  click here. Thanks, The Apple account team</t>
        </is>
      </c>
      <c r="C142" t="n">
        <v>1</v>
      </c>
      <c r="D142" t="inlineStr">
        <is>
          <t>"Apple" &lt;chel@online.no&gt;</t>
        </is>
      </c>
      <c r="E142" t="inlineStr">
        <is>
          <t>jose@monkey.org</t>
        </is>
      </c>
      <c r="F142" t="inlineStr">
        <is>
          <t>Wed, 16 Mar 2016 03:35:49 +0100</t>
        </is>
      </c>
      <c r="G142" t="inlineStr">
        <is>
          <t>Apple account unusual sign-in activity</t>
        </is>
      </c>
      <c r="H142" t="inlineStr">
        <is>
          <t>Apple account Unusual sign-in activity We detected something unusual about a recent sign-in to the Apple account.   To help keep you safe, we required an extra security challenge. Sign-in details: Country/region: Russia Federation IP address: 46.36.17.5 Date: 3/16/2016 02:49 (EST) If this was you, then you can safely ignore this email. If you're not sure this was you, a malicious user might have your password. Please review your recent activity and we'll help you take corrective action. Review recent activity To opt out or change where you receive security notifications,  click here. Thanks, The Apple account team</t>
        </is>
      </c>
      <c r="I142" t="inlineStr">
        <is>
          <t>Nazario phishing corpus (J. Nazario); файл Nazario.csv, рядок 163. Champa A. I., Rabbi M. F., Zibran M. F. Phishing Email Curated Datasets. Zenodo, 2023. DOI: 10.5281/zenodo.8339691</t>
        </is>
      </c>
    </row>
    <row r="143">
      <c r="A143" t="n">
        <v>142</v>
      </c>
      <c r="B143" t="inlineStr">
        <is>
          <t>ng prices. margaret ,
please find attached texas and louisiana wellhead prices ( daily , monthly and
quarterly ) . we had data available starting 1983 and the information source is
natural gas intelligence . information on uk " beach " prices will be available
for the following locations : teesside , bacton and st . fergus . would you like
to have data on a specific one ?
sincerely ,
elena
elena chikina
enron research group
vince j kaminski @ ect
08 / 01 / 2000 07 : 52 am
to : mike a roberts / hou / ect @ ect
cc : elena chilkina / corp / enron @ enron , vince j kaminski / hou / ect @ ect
subject : re : vince does your group have a monthly or a quarterly price
history in nominal terms
for a us onshore louisiana natural gas price ( or a texas wellhead price ) and
a uk landed beach price for the past 15 years ? i am gathering historical data
for jim o hara for our colombia pipeline in south america and these are among
the series of data they are seeking . they would like the data
from a published source in an electronic file if possible . . their timetable
is by cob weds this week . thank you for your help . margaret
mike do you agree with me ? please , ask elena to check what price info is
available at xmim .
vince
margaret ,
the prices going back 15 years are not too informative ( for the first 5
years ) , as he industry was still regulated .
we shall try to get you the us series as soon as possible .
vince
margaret carson @ enron
07 / 31 / 2000 04 : 12 pm
to : vince j kaminski / hou / ect @ ect
cc : kyran hanks / lon / ect @ ect
subject : vince does your group have a monthly or a quarterly price history in
nominal terms
for a us onshore louisiana natural gas price ( or a texas wellhead price ) and
a uk landed beach price for the past 15 years ? i am gathering historical data
for jim o hara for our colombia pipeline in south america and these are among
the series of data they are seeking . they would like the data
from a published source in an electronic file if possible . . their timetable
is by cob weds this week . thank you for your help . margaret</t>
        </is>
      </c>
      <c r="C143" t="n">
        <v>0</v>
      </c>
      <c r="D143" t="inlineStr"/>
      <c r="E143" t="inlineStr"/>
      <c r="F143" t="inlineStr"/>
      <c r="G143" t="inlineStr">
        <is>
          <t>ng prices</t>
        </is>
      </c>
      <c r="H143" t="inlineStr">
        <is>
          <t>margaret ,
please find attached texas and louisiana wellhead prices ( daily , monthly and
quarterly ) . we had data available starting 1983 and the information source is
natural gas intelligence . information on uk " beach " prices will be available
for the following locations : teesside , bacton and st . fergus . would you like
to have data on a specific one ?
sincerely ,
elena
elena chikina
enron research group
vince j kaminski @ ect
08 / 01 / 2000 07 : 52 am
to : mike a roberts / hou / ect @ ect
cc : elena chilkina / corp / enron @ enron , vince j kaminski / hou / ect @ ect
subject : re : vince does your group have a monthly or a quarterly price
history in nominal terms
for a us onshore louisiana natural gas price ( or a texas wellhead price ) and
a uk landed beach price for the past 15 years ? i am gathering historical data
for jim o hara for our colombia pipeline in south america and these are among
the series of data they are seeking . they would like the data
from a published source in an electronic file if possible . . their timetable
is by cob weds this week . thank you for your help . margaret
mike do you agree with me ? please , ask elena to check what price info is
available at xmim .
vince
margaret ,
the prices going back 15 years are not too informative ( for the first 5
years ) , as he industry was still regulated .
we shall try to get you the us series as soon as possible .
vince
margaret carson @ enron
07 / 31 / 2000 04 : 12 pm
to : vince j kaminski / hou / ect @ ect
cc : kyran hanks / lon / ect @ ect
subject : vince does your group have a monthly or a quarterly price history in
nominal terms
for a us onshore louisiana natural gas price ( or a texas wellhead price ) and
a uk landed beach price for the past 15 years ? i am gathering historical data
for jim o hara for our colombia pipeline in south america and these are among
the series of data they are seeking . they would like the data
from a published source in an electronic file if possible . . their timetable
is by cob weds this week . thank you for your help . margaret</t>
        </is>
      </c>
      <c r="I143" t="inlineStr">
        <is>
          <t>Enron (легітимні листи, label 0); файл Enron.csv, рядок 6859. Champa A. I., Rabbi M. F., Zibran M. F. Phishing Email Curated Datasets. Zenodo, 2023. DOI: 10.5281/zenodo.8339691</t>
        </is>
      </c>
    </row>
    <row r="144">
      <c r="A144" t="n">
        <v>143</v>
      </c>
      <c r="B144" t="inlineStr">
        <is>
          <t>Your USAA Checking/Savings Account Verification Notice. To ensure delivery to your inbox, please add  USAA.Web.Services@customermail.usaa.com to your address book.	  	        	     	      	      Account Verification Notice	       View Accounts |  Privacy Promise |  Contact Us	    	          	  	     	  	     	  	    	       USAA SECURITY ZONE   ONLINE    MEMBER    USAA # ending in: XXXX	    	      	     	     	    	    	     	    	          Dear Customer, For security reasons your online account has been temporarily restricted for verification, we are verifying and confirming our customers emails on our database to make sure their account has not been compromised and that they are still getting messages from usaa in order to prevent fraud and identity theft. Login here https://www.usaa.com to complete your verification  Note: Some unpleasant mail providers put our messages into spam cause of swindlers phishing activity. Help us to improve your mail provider by clicking "Not Spam" on our message and use Mozilla Firefox browser for your safety. Thank you,  USAA   	  	         	    	  	  	     	  	  	  	     	      Please do not reply to this e-mail. To send a secure message to USAA, please  contact us.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67624-1212      	    To      ensure delivery to your inbox, please add  USAA.Web.Services@customermail.usaa.com to your address book.     Account Verification Notice             View Accounts |                          Privacy Promise |                          Contact Us USAA SECURITY ZONE  ONLINE                 MEMBER                  USAA # ending in: XXXX           Dear Customer,         For security reasons your online account has been temporarily restricted for verification, we are  verifying and confirming our customers emails on our database to make sure their account has not been compromised and that they are still getting messages from usaa in  order to prevent fraud and identity theft. Login here https://www.usaa.com to  complete your verification Note: Some unpleasant mail providers put our messages into spam cause of swindlers phishing activity. Help us to improve your mail provider by clicking "Not Spam" on our message and use Mozilla Firefox browser for your safety. Thank you,         USAA                                  Please do not reply to this e-mail. To send a secure message to USAA, please          contact us.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67624-1212</t>
        </is>
      </c>
      <c r="C144" t="n">
        <v>1</v>
      </c>
      <c r="D144" t="inlineStr">
        <is>
          <t>"USAA" &lt;codewizard@approject.com&gt;</t>
        </is>
      </c>
      <c r="E144" t="inlineStr">
        <is>
          <t>Recipients &lt;codewizard@approject.com&gt;</t>
        </is>
      </c>
      <c r="F144" t="inlineStr">
        <is>
          <t>Wed, 04 May 2016 16:32:45 -0500</t>
        </is>
      </c>
      <c r="G144" t="inlineStr">
        <is>
          <t>Your USAA Checking/Savings Account Verification Notice</t>
        </is>
      </c>
      <c r="H144" t="inlineStr">
        <is>
          <t>To ensure delivery to your inbox, please add  USAA.Web.Services@customermail.usaa.com to your address book.	  	        	     	      	      Account Verification Notice	       View Accounts |  Privacy Promise |  Contact Us	    	          	  	     	  	     	  	    	       USAA SECURITY ZONE   ONLINE    MEMBER    USAA # ending in: XXXX	    	      	     	     	    	    	     	    	          Dear Customer, For security reasons your online account has been temporarily restricted for verification, we are verifying and confirming our customers emails on our database to make sure their account has not been compromised and that they are still getting messages from usaa in order to prevent fraud and identity theft. Login here https://www.usaa.com to complete your verification  Note: Some unpleasant mail providers put our messages into spam cause of swindlers phishing activity. Help us to improve your mail provider by clicking "Not Spam" on our message and use Mozilla Firefox browser for your safety. Thank you,  USAA   	  	         	    	  	  	     	  	  	  	     	      Please do not reply to this e-mail. To send a secure message to USAA, please  contact us.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67624-1212      	    To      ensure delivery to your inbox, please add  USAA.Web.Services@customermail.usaa.com to your address book.     Account Verification Notice             View Accounts |                          Privacy Promise |                          Contact Us USAA SECURITY ZONE  ONLINE                 MEMBER                  USAA # ending in: XXXX           Dear Customer,         For security reasons your online account has been temporarily restricted for verification, we are  verifying and confirming our customers emails on our database to make sure their account has not been compromised and that they are still getting messages from usaa in  order to prevent fraud and identity theft. Login here https://www.usaa.com to  complete your verification Note: Some unpleasant mail providers put our messages into spam cause of swindlers phishing activity. Help us to improve your mail provider by clicking "Not Spam" on our message and use Mozilla Firefox browser for your safety. Thank you,         USAA                                  Please do not reply to this e-mail. To send a secure message to USAA, please          contact us.     Privacy Promise     USAA, 9800 Fredericksburg Road, San Antonio, Texas 78288               USAA means United Services Automobile Association and its insurance,      banking, investment and other companies. Banks Member FDIC. Investments      provided by USAA Investment Management Company and USAA Financial Advisors      Inc., both registered broker dealers.         67624-1212</t>
        </is>
      </c>
      <c r="I144" t="inlineStr">
        <is>
          <t>Nazario phishing corpus (J. Nazario); файл Nazario.csv, рядок 229. Champa A. I., Rabbi M. F., Zibran M. F. Phishing Email Curated Datasets. Zenodo, 2023. DOI: 10.5281/zenodo.8339691</t>
        </is>
      </c>
    </row>
    <row r="145">
      <c r="A145" t="n">
        <v>144</v>
      </c>
      <c r="B145" t="inlineStr">
        <is>
          <t>IT Security immediately. Your e-mailbox password will soon expire. To keep your password active. Click Here to update IT- Desk © 2010 Microsoft Corporation ________________________________ DISCLAIMER: The information contained in or accompanying this email is the property of Imagine! and for the use of the stated recipient only, and may contain information that is confidential and/or privileged. It is intended only for the person or entity to which it is addressed or the agent thereof. Anyone else is prohibited from disclosing, copying, or disseminating the contents or attachments. If you have received this email by mistake, please destroy this message and inform the sender immediately by telephone, fax or email. Your e-mailbox password will soon expire. To keep your password active. Click Here to update   IT- Desk © 2010 Microsoft Corporation DISCLAIMER: The information contained in or accompanying this email is the property of Imagine! and for the use of the stated recipient only, and may contain information that is confidential and/or privileged. It is intended only for the person or entity to  which it is addressed or the agent thereof. Anyone else is prohibited from disclosing, copying, or disseminating the contents or attachments. If you have received this email by mistake, please destroy this message and inform the sender immediately by telephone,  fax or email.</t>
        </is>
      </c>
      <c r="C145" t="n">
        <v>1</v>
      </c>
      <c r="D145" t="inlineStr">
        <is>
          <t>Ron Scruggs &lt;rscruggs@Imaginecolorado.org&gt;</t>
        </is>
      </c>
      <c r="E145" t="inlineStr">
        <is>
          <t>"info@mail.org" &lt;info@mail.org&gt;</t>
        </is>
      </c>
      <c r="F145" t="inlineStr">
        <is>
          <t>Wed, 20 Apr 2016 22:25:06 +0000</t>
        </is>
      </c>
      <c r="G145" t="inlineStr">
        <is>
          <t>IT Security immediately</t>
        </is>
      </c>
      <c r="H145" t="inlineStr">
        <is>
          <t>Your e-mailbox password will soon expire. To keep your password active. Click Here to update IT- Desk © 2010 Microsoft Corporation ________________________________ DISCLAIMER: The information contained in or accompanying this email is the property of Imagine! and for the use of the stated recipient only, and may contain information that is confidential and/or privileged. It is intended only for the person or entity to which it is addressed or the agent thereof. Anyone else is prohibited from disclosing, copying, or disseminating the contents or attachments. If you have received this email by mistake, please destroy this message and inform the sender immediately by telephone, fax or email. Your e-mailbox password will soon expire. To keep your password active. Click Here to update   IT- Desk © 2010 Microsoft Corporation DISCLAIMER: The information contained in or accompanying this email is the property of Imagine! and for the use of the stated recipient only, and may contain information that is confidential and/or privileged. It is intended only for the person or entity to  which it is addressed or the agent thereof. Anyone else is prohibited from disclosing, copying, or disseminating the contents or attachments. If you have received this email by mistake, please destroy this message and inform the sender immediately by telephone,  fax or email.</t>
        </is>
      </c>
      <c r="I145" t="inlineStr">
        <is>
          <t>Nazario phishing corpus (J. Nazario); файл Nazario.csv, рядок 215. Champa A. I., Rabbi M. F., Zibran M. F. Phishing Email Curated Datasets. Zenodo, 2023. DOI: 10.5281/zenodo.8339691</t>
        </is>
      </c>
    </row>
    <row r="146">
      <c r="A146" t="n">
        <v>145</v>
      </c>
      <c r="B146" t="inlineStr">
        <is>
          <t>Self-Service Email Password Reset. Dear Email User Password will expire in 3 days Check it out Here. to keep your password active IT- Desk Service Desk © 2010 Microsoft Corporation. All rights reserved Dear Email User Password will expire in 3 days Check it out Here. to keep your password active IT- Desk Service Desk © 2010 Microsoft Corporation. All rights reserved</t>
        </is>
      </c>
      <c r="C146" t="n">
        <v>1</v>
      </c>
      <c r="D146" t="inlineStr">
        <is>
          <t>"Biggle, Carri" &lt;Carri.Biggle@canyons.edu&gt;</t>
        </is>
      </c>
      <c r="E146" t="inlineStr">
        <is>
          <t>"ingoraschka@alum.calarts.edu" &lt;ingoraschka@alum.calarts.edu&gt;</t>
        </is>
      </c>
      <c r="F146" t="inlineStr">
        <is>
          <t>Wed, 6 Apr 2016 14:08:31 +0000</t>
        </is>
      </c>
      <c r="G146" t="inlineStr">
        <is>
          <t>Self-Service Email Password Reset</t>
        </is>
      </c>
      <c r="H146" t="inlineStr">
        <is>
          <t>Dear Email User Password will expire in 3 days Check it out Here. to keep your password active IT- Desk Service Desk © 2010 Microsoft Corporation. All rights reserved Dear Email User Password will expire in 3 days Check it out Here. to keep your password active IT- Desk Service Desk © 2010 Microsoft Corporation. All rights reserved</t>
        </is>
      </c>
      <c r="I146" t="inlineStr">
        <is>
          <t>Nazario phishing corpus (J. Nazario); файл Nazario.csv, рядок 192. Champa A. I., Rabbi M. F., Zibran M. F. Phishing Email Curated Datasets. Zenodo, 2023. DOI: 10.5281/zenodo.8339691</t>
        </is>
      </c>
    </row>
    <row r="147">
      <c r="A147" t="n">
        <v>146</v>
      </c>
      <c r="B147" t="inlineStr">
        <is>
          <t>fw : master netting agreement. f . y . i . mark
- - - - - original message - - - - -
from : kevin _ t _ howell @ dom . com [ mailto : kevin _ t _ howell @ dom . com ]
sent : 29 november 2001 08 : 43
to : frevert , mark
subject : master netting agreement
kevin t howell
dominion energy clearinghouse
ph : ( 804 ) 273 - 4848
fax : ( 804 ) 273 - 4445
_ _ _ _ _ _ _ _ _ _ _ _ _ _ _ _ _ _
mark
my phone message this morning relates to the master netting agreement that
we have been negotiating with your team for the past several days . it is
my understanding that the language on both the isda and the master netting
agreement have been agreed to but enron is unwilling to sign either under
the current circumstances . while we would like to get the isda signed and
have offered a margin holiday as an incentive , i also see your side of the
issue . i would however ask you and your team to separate the two issues
and at least sign the master netting agreement .
based on enron ' s stated goal to protect its core energy trading business ,
dominion is still transacting with enron . the master netting agreement
should be in both of our interest by providing needed liquidity for
additional transactions . i believe that everyone in this industry would
like to see enron ' s energy trading emerge intact and dominion would like to
provide whatever reasonable support we can towards that goal . the master
netting agreement is a critical issue for us and represents the centerpiece
of out ongoing relationship with enron .
mark , i realize that your plate is extremely full right now and this issue
is not at the top of your list . i would simply ask that you ask the enron
team that has worked on this the past days to remain engaged with our team
and bring this to finality .
kevin t howell
dominion energy clearinghouse
ph : ( 804 ) 273 - 4848
fax : ( 804 ) 273 - 4445</t>
        </is>
      </c>
      <c r="C147" t="n">
        <v>0</v>
      </c>
      <c r="D147" t="inlineStr"/>
      <c r="E147" t="inlineStr"/>
      <c r="F147" t="inlineStr"/>
      <c r="G147" t="inlineStr">
        <is>
          <t>fw : master netting agreement</t>
        </is>
      </c>
      <c r="H147" t="inlineStr">
        <is>
          <t>f . y . i . mark
- - - - - original message - - - - -
from : kevin _ t _ howell @ dom . com [ mailto : kevin _ t _ howell @ dom . com ]
sent : 29 november 2001 08 : 43
to : frevert , mark
subject : master netting agreement
kevin t howell
dominion energy clearinghouse
ph : ( 804 ) 273 - 4848
fax : ( 804 ) 273 - 4445
_ _ _ _ _ _ _ _ _ _ _ _ _ _ _ _ _ _
mark
my phone message this morning relates to the master netting agreement that
we have been negotiating with your team for the past several days . it is
my understanding that the language on both the isda and the master netting
agreement have been agreed to but enron is unwilling to sign either under
the current circumstances . while we would like to get the isda signed and
have offered a margin holiday as an incentive , i also see your side of the
issue . i would however ask you and your team to separate the two issues
and at least sign the master netting agreement .
based on enron ' s stated goal to protect its core energy trading business ,
dominion is still transacting with enron . the master netting agreement
should be in both of our interest by providing needed liquidity for
additional transactions . i believe that everyone in this industry would
like to see enron ' s energy trading emerge intact and dominion would like to
provide whatever reasonable support we can towards that goal . the master
netting agreement is a critical issue for us and represents the centerpiece
of out ongoing relationship with enron .
mark , i realize that your plate is extremely full right now and this issue
is not at the top of your list . i would simply ask that you ask the enron
team that has worked on this the past days to remain engaged with our team
and bring this to finality .
kevin t howell
dominion energy clearinghouse
ph : ( 804 ) 273 - 4848
fax : ( 804 ) 273 - 4445</t>
        </is>
      </c>
      <c r="I147" t="inlineStr">
        <is>
          <t>Enron (легітимні листи, label 0); файл Enron.csv, рядок 12458. Champa A. I., Rabbi M. F., Zibran M. F. Phishing Email Curated Datasets. Zenodo, 2023. DOI: 10.5281/zenodo.8339691</t>
        </is>
      </c>
    </row>
    <row r="148">
      <c r="A148" t="n">
        <v>147</v>
      </c>
      <c r="B148" t="inlineStr">
        <is>
          <t>wharton business plan competition. hi anne !
thank you for your reply . enron is delighted to be a part of the wharton
business plan competition !
first , our assistant in the university affairs group , melinda mccarty , will
provide you with our logo .
enron would definitely like to be judge in phase iii and participate in the
venture fair , including the display table .
as to the mentoring and university community program , let ; s discuss that
further so i can better judge our way forward .
after i ' ve had the chance to discuss all of this with our entire university
affairs and wharton team here at enron , you and i can get together to plan a
more difinitive participatory strategy for enron . i will call you next week .
again , we at enron are very enthusiastic about participation with wharton in
this mutually interesting endeavor . !
best regards !
- - christie .
- - - - - - - - - - - - - - - - - - - - - - forwarded by christie patrick / hou / ect on 01 / 26 / 2001
06 : 33 pm - - - - - - - - - - - - - - - - - - - - - - - - - - -
" stamer , anne " on 01 / 26 / 2001 03 : 47 : 39 pm
to : " ' christie _ patrick @ enron . com ' "
cc :
subject : wharton business plan competition
dear christie :
thank you for your voice mail . things are moving along nicely with the
competition . phase ii deadline was today , so we hope to have some
statistics in the next few weeks . i have attached the statistics from phase
i , for your files . listed below are ways that enron could be involved , let
me know in which ( or all ) of these enron would be interested in participating .
* we want to start listing our sponsors , so it would be really good if we
could get your logo .
* also , does enron wish to be a judge in phase iii and the venture fair
( vf ) ? for phase iii , we would mail each judge about 3 full blown business
plans to be ranked . we anticipate this taking no more than 1 afternoon
* for the vf , we would need a judge to be present for the entire day . the
vf is by invitation only and we anticipate about 350 students , venture
capitalists , business entrepreneurs and faculty . the vf will be held in
philadelphia on april 30 th .
* at the vf we will provide an opportunity for our sponsors with a 6 foot
table for exhibits or materials to hand out . we will need to know if you
wish to use the exhibit space .
* we plan on providing our 25 semi - finalist teams with one - on - one
mentoring . if enron is interested , that would be about 1 / 2 or 1 day
commitment .
* there might be an opportunity for a workshop to the university community .
would enron be interested in participating in something like this ?
i look forward to working with you to make this year ' s bpc a success . thank
you .
sincerely ,
anne stamer
&gt;
anne stamer
wharton business plan competition
wharton entrepreneurial programs
the wharton school
419 vance hall , 3733 spruce street
philadelphia , pa 19104 - 6374
215 - 746 - 6460 ( direct )
215 - 898 - 4856 ( office )
215 - 898 - 1299 ( fax )
stamer @ wharton . upenn . edu
- phase ioverview . doc</t>
        </is>
      </c>
      <c r="C148" t="n">
        <v>0</v>
      </c>
      <c r="D148" t="inlineStr"/>
      <c r="E148" t="inlineStr"/>
      <c r="F148" t="inlineStr"/>
      <c r="G148" t="inlineStr">
        <is>
          <t>wharton business plan competition</t>
        </is>
      </c>
      <c r="H148" t="inlineStr">
        <is>
          <t>hi anne !
thank you for your reply . enron is delighted to be a part of the wharton
business plan competition !
first , our assistant in the university affairs group , melinda mccarty , will
provide you with our logo .
enron would definitely like to be judge in phase iii and participate in the
venture fair , including the display table .
as to the mentoring and university community program , let ; s discuss that
further so i can better judge our way forward .
after i ' ve had the chance to discuss all of this with our entire university
affairs and wharton team here at enron , you and i can get together to plan a
more difinitive participatory strategy for enron . i will call you next week .
again , we at enron are very enthusiastic about participation with wharton in
this mutually interesting endeavor . !
best regards !
- - christie .
- - - - - - - - - - - - - - - - - - - - - - forwarded by christie patrick / hou / ect on 01 / 26 / 2001
06 : 33 pm - - - - - - - - - - - - - - - - - - - - - - - - - - -
" stamer , anne " on 01 / 26 / 2001 03 : 47 : 39 pm
to : " ' christie _ patrick @ enron . com ' "
cc :
subject : wharton business plan competition
dear christie :
thank you for your voice mail . things are moving along nicely with the
competition . phase ii deadline was today , so we hope to have some
statistics in the next few weeks . i have attached the statistics from phase
i , for your files . listed below are ways that enron could be involved , let
me know in which ( or all ) of these enron would be interested in participating .
* we want to start listing our sponsors , so it would be really good if we
could get your logo .
* also , does enron wish to be a judge in phase iii and the venture fair
( vf ) ? for phase iii , we would mail each judge about 3 full blown business
plans to be ranked . we anticipate this taking no more than 1 afternoon
* for the vf , we would need a judge to be present for the entire day . the
vf is by invitation only and we anticipate about 350 students , venture
capitalists , business entrepreneurs and faculty . the vf will be held in
philadelphia on april 30 th .
* at the vf we will provide an opportunity for our sponsors with a 6 foot
table for exhibits or materials to hand out . we will need to know if you
wish to use the exhibit space .
* we plan on providing our 25 semi - finalist teams with one - on - one
mentoring . if enron is interested , that would be about 1 / 2 or 1 day
commitment .
* there might be an opportunity for a workshop to the university community .
would enron be interested in participating in something like this ?
i look forward to working with you to make this year ' s bpc a success . thank
you .
sincerely ,
anne stamer
&gt;
anne stamer
wharton business plan competition
wharton entrepreneurial programs
the wharton school
419 vance hall , 3733 spruce street
philadelphia , pa 19104 - 6374
215 - 746 - 6460 ( direct )
215 - 898 - 4856 ( office )
215 - 898 - 1299 ( fax )
stamer @ wharton . upenn . edu
- phase ioverview . doc</t>
        </is>
      </c>
      <c r="I148" t="inlineStr">
        <is>
          <t>Enron (легітимні листи, label 0); файл Enron.csv, рядок 5292. Champa A. I., Rabbi M. F., Zibran M. F. Phishing Email Curated Datasets. Zenodo, 2023. DOI: 10.5281/zenodo.8339691</t>
        </is>
      </c>
    </row>
    <row r="149">
      <c r="A149" t="n">
        <v>148</v>
      </c>
      <c r="B149" t="inlineStr">
        <is>
          <t>start date : 12 / 15 / 01 ; hourahead hour : 21 ;. start date : 12 / 15 / 01 ; hourahead hour : 21 ; no ancillary schedules awarded . no variances detected .
log messages :
parsing file - - &gt; &gt; o : \\ portland \\ westdesk \\ california scheduling \\ iso final schedules \\ 2001121521 . txt</t>
        </is>
      </c>
      <c r="C149" t="n">
        <v>0</v>
      </c>
      <c r="D149" t="inlineStr"/>
      <c r="E149" t="inlineStr"/>
      <c r="F149" t="inlineStr"/>
      <c r="G149" t="inlineStr">
        <is>
          <t>start date : 12 / 15 / 01 ; hourahead hour : 21 ;</t>
        </is>
      </c>
      <c r="H149" t="inlineStr">
        <is>
          <t>start date : 12 / 15 / 01 ; hourahead hour : 21 ; no ancillary schedules awarded . no variances detected .
log messages :
parsing file - - &gt; &gt; o : \\ portland \\ westdesk \\ california scheduling \\ iso final schedules \\ 2001121521 . txt</t>
        </is>
      </c>
      <c r="I149" t="inlineStr">
        <is>
          <t>Enron (легітимні листи, label 0); файл Enron.csv, рядок 16019. Champa A. I., Rabbi M. F., Zibran M. F. Phishing Email Curated Datasets. Zenodo, 2023. DOI: 10.5281/zenodo.8339691</t>
        </is>
      </c>
    </row>
    <row r="150">
      <c r="A150" t="n">
        <v>149</v>
      </c>
      <c r="B150" t="inlineStr">
        <is>
          <t>re : fw : closing . . .. please advise what you want me to do from here ?
regards
delainey
- - - - - - - - - - - - - - - - - - - - - - forwarded by david w delainey / hou / ees on 03 / 16 / 2001 10 : 10 am - - - - - - - - - - - - - - - - - - - - - - - - - - -
enron energy services from : kay chapman 03 / 16 / 2001 09 : 56 am
to : david w delainey / hou / ees @ ees
cc :
subject : re : fw : closing . . .
" cyrus , michael " on 03 / 16 / 2001 09 : 25 : 10 am
to : " ' kay . chapman @ enron . com ' "
cc :
subject : fw : closing . . .
could i impose on you to insure dave gets this and i must assume he has a
new e - mail address and could you send it to me as well . thx . . .
&gt; - - - - - original message - - - - -
&gt; from : cyrus , michael
&gt; sent : friday , march 16 , 2001 10 : 23 am
&gt; to : ' dave . delainey @ enron . com '
&gt; subject : closing . . .
&gt;
&gt; sounds like we are nearing a closing currently slated for the 25 th - 27 th .
&gt; the test of the ge fix is an issue that is hanging our respective teams
&gt; up . in looking at the situation i understand the concern from both camps
&gt; but you and i can resolve this quickly i think . we have some experience
&gt; with ge on the madison &amp; vermillion plants and i ' ll check with my ct guy
&gt; to see what ge will indemnify .
&gt;
&gt; when you get a chance you can give me a call on my cell 513 - 509 - 1625 or
&gt; i ' ll try to catch you at the office . i ' m out running around trying to get
&gt; my act together to go skiing for a couple of weeks tomorrow . we should
&gt; maybe talk about the services area as well because i have some activities
&gt; that could be compatible . i am also going to re - fire the conversation with
&gt; the coal plant guys as well . hope things are going great in your new role .
&gt; look forward to talking with you . thx . . . . .
&gt;
&gt; michael j . cyrus
&gt; &gt; , president and ceo energy merchant
&gt;</t>
        </is>
      </c>
      <c r="C150" t="n">
        <v>0</v>
      </c>
      <c r="D150" t="inlineStr"/>
      <c r="E150" t="inlineStr"/>
      <c r="F150" t="inlineStr"/>
      <c r="G150" t="inlineStr">
        <is>
          <t>re : fw : closing . . .</t>
        </is>
      </c>
      <c r="H150" t="inlineStr">
        <is>
          <t xml:space="preserve">please advise what you want me to do from here ?
regards
delainey
- - - - - - - - - - - - - - - - - - - - - - forwarded by david w delainey / hou / ees on 03 / 16 / 2001 10 : 10 am - - - - - - - - - - - - - - - - - - - - - - - - - - -
enron energy services from : kay chapman 03 / 16 / 2001 09 : 56 am
to : david w delainey / hou / ees @ ees
cc :
subject : re : fw : closing . . .
" cyrus , michael " on 03 / 16 / 2001 09 : 25 : 10 am
to : " ' kay . chapman @ enron . com ' "
cc :
subject : fw : closing . . .
could i impose on you to insure dave gets this and i must assume he has a
new e - mail address and could you send it to me as well . thx . . .
&gt; - - - - - original message - - - - -
&gt; from : cyrus , michael
&gt; sent : friday , march 16 , 2001 10 : 23 am
&gt; to : ' dave . delainey @ enron . com '
&gt; subject : closing . . .
&gt;
&gt; sounds like we are nearing a closing currently slated for the 25 th - 27 th .
&gt; the test of the ge fix is an issue that is hanging our respective teams
&gt; up . in looking at the situation i understand the concern from both camps
&gt; but you and i can resolve this quickly i think . we have some experience
&gt; with ge on the madison &amp; vermillion plants and i ' ll check with my ct guy
&gt; to see what ge will indemnify .
&gt;
&gt; when you get a chance you can give me a call on my cell 513 - 509 - 1625 or
&gt; i ' ll try to catch you at the office . i ' m out running around trying to get
&gt; my act together to go skiing for a couple of weeks tomorrow . we should
&gt; maybe talk about the services area as well because i have some activities
&gt; that could be compatible . i am also going to re - fire the conversation with
&gt; the coal plant guys as well . hope things are going great in your new role .
&gt; look forward to talking with you . thx . . . . .
&gt;
&gt; michael j . cyrus
&gt; &gt; , president and ceo energy merchant
&gt;
</t>
        </is>
      </c>
      <c r="I150" t="inlineStr">
        <is>
          <t>Enron (легітимні листи, label 0); файл Enron.csv, рядок 13421. Champa A. I., Rabbi M. F., Zibran M. F. Phishing Email Curated Datasets. Zenodo, 2023. DOI: 10.5281/zenodo.8339691</t>
        </is>
      </c>
    </row>
    <row r="151">
      <c r="A151" t="n">
        <v>150</v>
      </c>
      <c r="B151" t="inlineStr">
        <is>
          <t>Unusual debit card activity detected. Fwd: Software Upgrade SECURITY ALERT Unusual debit card activity detected Dear CHASE Member,We detected Unusual activity on your CHASE bank debit card on 22/03/2017. For your protection, we need you to review this activity immediately. Please sign in to M  obile Banking or visit Online Banking at WWW.CHASE.COM to review and verify your account activity: If you do not contact us, certain limitations may be placed on your debit card.    please visit the following page: http://www.chase.com/cmserver/users/default/confirm.cfm  Your last sign-in was 27/03/2017 To verify that this email is from CHASE BANK, confirm your last sign-in date is correct.To access Online or Mobile Banking, go directly to CHASE.com or use our Mobile Banking App. Remember: We never ask for private information such as an account number, card PIN, or Social Security or Tax ID number in email messages. If you think an email is suspicious, don't click on any links. Instead, forward it to abuse@CHASE.com and delete it. Read our Privacy Notice. Please don't reply directly to this automatically generated email message. Customer AdvisoryCopyright 2015 CHASE.</t>
        </is>
      </c>
      <c r="C151" t="n">
        <v>1</v>
      </c>
      <c r="D151" t="inlineStr">
        <is>
          <t>Chase &lt;Chase@banking.com&gt;</t>
        </is>
      </c>
      <c r="E151" t="inlineStr">
        <is>
          <t>Jose@monkey.org</t>
        </is>
      </c>
      <c r="F151" t="inlineStr">
        <is>
          <t>Mon, 27 Mar 2017 19:42:02 +0200</t>
        </is>
      </c>
      <c r="G151" t="inlineStr">
        <is>
          <t>Unusual debit card activity detected</t>
        </is>
      </c>
      <c r="H151" t="inlineStr">
        <is>
          <t>Fwd: Software Upgrade SECURITY ALERT Unusual debit card activity detected Dear CHASE Member,We detected Unusual activity on your CHASE bank debit card on 22/03/2017. For your protection, we need you to review this activity immediately. Please sign in to M  obile Banking or visit Online Banking at WWW.CHASE.COM to review and verify your account activity: If you do not contact us, certain limitations may be placed on your debit card.    please visit the following page: http://www.chase.com/cmserver/users/default/confirm.cfm  Your last sign-in was 27/03/2017 To verify that this email is from CHASE BANK, confirm your last sign-in date is correct.To access Online or Mobile Banking, go directly to CHASE.com or use our Mobile Banking App. Remember: We never ask for private information such as an account number, card PIN, or Social Security or Tax ID number in email messages. If you think an email is suspicious, don't click on any links. Instead, forward it to abuse@CHASE.com and delete it. Read our Privacy Notice. Please don't reply directly to this automatically generated email message. Customer AdvisoryCopyright 2015 CHASE.</t>
        </is>
      </c>
      <c r="I151" t="inlineStr">
        <is>
          <t>Nazario phishing corpus (J. Nazario); файл Nazario.csv, рядок 536. Champa A. I., Rabbi M. F., Zibran M. F. Phishing Email Curated Datasets. Zenodo, 2023. DOI: 10.5281/zenodo.8339691</t>
        </is>
      </c>
    </row>
    <row r="152">
      <c r="A152" t="n">
        <v>151</v>
      </c>
      <c r="B152" t="inlineStr">
        <is>
          <t>re : chase. vince : thanks very much . i will call ravi
chris
vince j kaminski @ ect
04 / 12 / 2000 10 : 36 am
to : chris holmes @ enron
cc :
subject : re : chase
- - - - - - - - - - - - - - - - - - - - - - forwarded by vince j kaminski / hou / ect on 04 / 12 / 2000
10 : 37 am - - - - - - - - - - - - - - - - - - - - - - - - - - -
vince j kaminski
04 / 12 / 2000 10 : 11 am
to : chris holmes / hou / ect @ ees
cc : stinson gibner / hou / ect @ ect , vince j kaminski / hou / ect @ ect
subject : re : chase
chris ,
we don ' t have yet any report on broadband that might help you , developed
internally
by my group . we are working on a tutorial and we shall send you a copy when
it ' s ready .
the person who can give you an introduction to this market is ravi
thuraisingham .
vince
chris holmes @ ees
04 / 05 / 2000 09 : 55 pm
sent by : chris holmes @ ees
to : vince j kaminski / hou / ect @ ect
cc :
subject : chase
vince :
i am working now in ees as the chase national account manager and am
developing new products to sell chase . one of the products i am working on
integrates the provision of broad band with a package of computer
hardware and software for a company ' s employees .
i can explain more if you are interested .
i understand you put together a report on broadband which has helped educate
people as to the technology and economics . can i get a copy ? .
also do you have any analyses on chase that might help me detect other
opportunities ?
is there anyone on your staff with whom i should talk ?
thanks
chris</t>
        </is>
      </c>
      <c r="C152" t="n">
        <v>0</v>
      </c>
      <c r="D152" t="inlineStr"/>
      <c r="E152" t="inlineStr"/>
      <c r="F152" t="inlineStr"/>
      <c r="G152" t="inlineStr">
        <is>
          <t>re : chase</t>
        </is>
      </c>
      <c r="H152" t="inlineStr">
        <is>
          <t>vince : thanks very much . i will call ravi
chris
vince j kaminski @ ect
04 / 12 / 2000 10 : 36 am
to : chris holmes @ enron
cc :
subject : re : chase
- - - - - - - - - - - - - - - - - - - - - - forwarded by vince j kaminski / hou / ect on 04 / 12 / 2000
10 : 37 am - - - - - - - - - - - - - - - - - - - - - - - - - - -
vince j kaminski
04 / 12 / 2000 10 : 11 am
to : chris holmes / hou / ect @ ees
cc : stinson gibner / hou / ect @ ect , vince j kaminski / hou / ect @ ect
subject : re : chase
chris ,
we don ' t have yet any report on broadband that might help you , developed
internally
by my group . we are working on a tutorial and we shall send you a copy when
it ' s ready .
the person who can give you an introduction to this market is ravi
thuraisingham .
vince
chris holmes @ ees
04 / 05 / 2000 09 : 55 pm
sent by : chris holmes @ ees
to : vince j kaminski / hou / ect @ ect
cc :
subject : chase
vince :
i am working now in ees as the chase national account manager and am
developing new products to sell chase . one of the products i am working on
integrates the provision of broad band with a package of computer
hardware and software for a company ' s employees .
i can explain more if you are interested .
i understand you put together a report on broadband which has helped educate
people as to the technology and economics . can i get a copy ? .
also do you have any analyses on chase that might help me detect other
opportunities ?
is there anyone on your staff with whom i should talk ?
thanks
chris</t>
        </is>
      </c>
      <c r="I152" t="inlineStr">
        <is>
          <t>Enron (легітимні листи, label 0); файл Enron.csv, рядок 7689. Champa A. I., Rabbi M. F., Zibran M. F. Phishing Email Curated Datasets. Zenodo, 2023. DOI: 10.5281/zenodo.8339691</t>
        </is>
      </c>
    </row>
    <row r="153">
      <c r="A153" t="n">
        <v>152</v>
      </c>
      <c r="B153" t="inlineStr">
        <is>
          <t>everybody ,. as vince suggested , i made a topical allocation of our new website for
quality control . can you please check out in detail , and put through the
paces , the following list ?
weather mike
links maureen
technical analysis steve bigalow
options library zimin ( this is a big one ! ! )
european weather jose
agricaltural weather jose ( be sure and run spell check ! ! ! )
weather derivatives stephen
presentations tanya
nuclear outage updates sam
fx and sovergn risk maureen
industry analysis vasant
publications osman
research intelligence stinson
hot button # 8 vince
thanks , just email me with any problems or ideas for adds / changes
- - - mike</t>
        </is>
      </c>
      <c r="C153" t="n">
        <v>0</v>
      </c>
      <c r="D153" t="inlineStr"/>
      <c r="E153" t="inlineStr"/>
      <c r="F153" t="inlineStr"/>
      <c r="G153" t="inlineStr">
        <is>
          <t>everybody ,</t>
        </is>
      </c>
      <c r="H153" t="inlineStr">
        <is>
          <t>as vince suggested , i made a topical allocation of our new website for
quality control . can you please check out in detail , and put through the
paces , the following list ?
weather mike
links maureen
technical analysis steve bigalow
options library zimin ( this is a big one ! ! )
european weather jose
agricaltural weather jose ( be sure and run spell check ! ! ! )
weather derivatives stephen
presentations tanya
nuclear outage updates sam
fx and sovergn risk maureen
industry analysis vasant
publications osman
research intelligence stinson
hot button # 8 vince
thanks , just email me with any problems or ideas for adds / changes
- - - mike</t>
        </is>
      </c>
      <c r="I153" t="inlineStr">
        <is>
          <t>Enron (легітимні листи, label 0); файл Enron.csv, рядок 8679. Champa A. I., Rabbi M. F., Zibran M. F. Phishing Email Curated Datasets. Zenodo, 2023. DOI: 10.5281/zenodo.8339691</t>
        </is>
      </c>
    </row>
    <row r="154">
      <c r="A154" t="n">
        <v>153</v>
      </c>
      <c r="B154" t="inlineStr">
        <is>
          <t>re : impending visit. vince :
would friday morning july 7 at 9 : 00 am work for you ? give me an email shout
if so . thanks .
dale nesbitt
- - - - - original message - - - - -
from : vince . j . kaminski @ enron . com [ mailto : vince . j . kaminski @ enron . com ]
sent : june 28 , 2000 2 : 19 pm
to : dale . nesbitt @ marketpointinc . com
cc : vince . j . kaminski @ enron . com
subject : re : impending visit
dale ,
sorry for a delay in responding to your message .
i shall talk to the head of our b 2 b unit on friday this week and
shall remind him about your visit .
i hope he can make a decision at this time whether he is interested
in pursuing this opportunity
vince
" dale nesbitt " on 06 / 27 / 2000 11 : 26 : 05 pm
to : " vincent kaminski " , " vince . j . kaminski "
cc :
subject : impending visit
vince :
i sent you an email a couple of days ago to inquire if we might get
together
at your offices on july 5 or july 7 in houston to follow up our earlier
discussions . i notice i have two email addresses for you , so i am sending
this to both . i am not sure the earlier transmission got to you .
would you be available the afternoon of the 5 th or the morning of the 7 th
to
continue our earlier discussions ? give me an email or phone shout at
650 . 218 . 3069 .
thanks
dale nesbitt</t>
        </is>
      </c>
      <c r="C154" t="n">
        <v>0</v>
      </c>
      <c r="D154" t="inlineStr"/>
      <c r="E154" t="inlineStr"/>
      <c r="F154" t="inlineStr"/>
      <c r="G154" t="inlineStr">
        <is>
          <t>re : impending visit</t>
        </is>
      </c>
      <c r="H154" t="inlineStr">
        <is>
          <t>vince :
would friday morning july 7 at 9 : 00 am work for you ? give me an email shout
if so . thanks .
dale nesbitt
- - - - - original message - - - - -
from : vince . j . kaminski @ enron . com [ mailto : vince . j . kaminski @ enron . com ]
sent : june 28 , 2000 2 : 19 pm
to : dale . nesbitt @ marketpointinc . com
cc : vince . j . kaminski @ enron . com
subject : re : impending visit
dale ,
sorry for a delay in responding to your message .
i shall talk to the head of our b 2 b unit on friday this week and
shall remind him about your visit .
i hope he can make a decision at this time whether he is interested
in pursuing this opportunity
vince
" dale nesbitt " on 06 / 27 / 2000 11 : 26 : 05 pm
to : " vincent kaminski " , " vince . j . kaminski "
cc :
subject : impending visit
vince :
i sent you an email a couple of days ago to inquire if we might get
together
at your offices on july 5 or july 7 in houston to follow up our earlier
discussions . i notice i have two email addresses for you , so i am sending
this to both . i am not sure the earlier transmission got to you .
would you be available the afternoon of the 5 th or the morning of the 7 th
to
continue our earlier discussions ? give me an email or phone shout at
650 . 218 . 3069 .
thanks
dale nesbitt</t>
        </is>
      </c>
      <c r="I154" t="inlineStr">
        <is>
          <t>Enron (легітимні листи, label 0); файл Enron.csv, рядок 7490. Champa A. I., Rabbi M. F., Zibran M. F. Phishing Email Curated Datasets. Zenodo, 2023. DOI: 10.5281/zenodo.8339691</t>
        </is>
      </c>
    </row>
    <row r="155">
      <c r="A155" t="n">
        <v>154</v>
      </c>
      <c r="B155">
        <f>?UTF-8?B?V2lyIGhhYmVuIElocmUgSUQgZGVha3RpdmllcnQ=?=. Ihre ID wurde deaktiviert Ihr Passwort wurde aufgrund mehrfacher Verwendung falscher Anmeldedaten deaktiviert. Zu Ihrer Sicherheit haben wir Ihre ID deaktiviert. Um Ihr Konto wiederherzustellen und die Verwendung Ihrer ID fortzusetzen und die weitere Deaktivierung Ihres Kontos zu stoppen. Klicken Sie hier, um wiederherzustellen und Schützen Sie Ihr Konto online. Bei Fragen stehen wir Ihnen 24 Stunden am Tag, 7 Tage die Woche zur Verfügung ,  Bitte antworten Sie nicht auf diese Email. Aufrichtig, . Apple Online-Kundendienst 8250f624-ecd6-466b-af01-aa6c2d7a79e6</f>
        <v/>
      </c>
      <c r="C155" t="n">
        <v>1</v>
      </c>
      <c r="D155">
        <f>?UTF-8?B?QXBwbGU=?= &lt;support@shop.erbaquest.com&gt;</f>
        <v/>
      </c>
      <c r="E155" t="inlineStr">
        <is>
          <t>jose@monkey.org</t>
        </is>
      </c>
      <c r="F155" t="inlineStr">
        <is>
          <t>Mon, 17 Oct 2022 00:21:39 -0500</t>
        </is>
      </c>
      <c r="G155">
        <f>?UTF-8?B?V2lyIGhhYmVuIElocmUgSUQgZGVha3RpdmllcnQ=?=</f>
        <v/>
      </c>
      <c r="H155" t="inlineStr">
        <is>
          <t>Ihre ID wurde deaktiviert Ihr Passwort wurde aufgrund mehrfacher Verwendung falscher Anmeldedaten deaktiviert. Zu Ihrer Sicherheit haben wir Ihre ID deaktiviert. Um Ihr Konto wiederherzustellen und die Verwendung Ihrer ID fortzusetzen und die weitere Deaktivierung Ihres Kontos zu stoppen. Klicken Sie hier, um wiederherzustellen und Schützen Sie Ihr Konto online. Bei Fragen stehen wir Ihnen 24 Stunden am Tag, 7 Tage die Woche zur Verfügung ,  Bitte antworten Sie nicht auf diese Email. Aufrichtig, . Apple Online-Kundendienst 8250f624-ecd6-466b-af01-aa6c2d7a79e6</t>
        </is>
      </c>
      <c r="I155" t="inlineStr">
        <is>
          <t>Nazario phishing corpus (J. Nazario); файл Nazario.csv, рядок 1510. Champa A. I., Rabbi M. F., Zibran M. F. Phishing Email Curated Datasets. Zenodo, 2023. DOI: 10.5281/zenodo.8339691</t>
        </is>
      </c>
    </row>
    <row r="156">
      <c r="A156" t="n">
        <v>155</v>
      </c>
      <c r="B156" t="inlineStr">
        <is>
          <t>You got new message!. Security Preferences Update    View Accounts | Privacy Promise | Contact Us 	  	       	 	    	 	    	 	   	    USAA SECURITY ZONE   Security and  Privacy  Center	   	    	    	    	    	    	            Dear USAA Member,     We have temporarily prevented access to your account. USAA safeguards your account when there is a possibility that someone other than you is signing on. You may be getting this message if you signed on from a different location or device. If this is the case, your access may be restored when you return to your normal sign on method.    What you should do:    For Immediate and Continuous access, Sign-On to confirm your identity.      	 Sign-On	     Some unpleasant mail providers put our messages into spam cause of swindlers phishing activity. Help us to improve your mail provider by clicking "Not Spam" on our message and use Mozilla Firefox browser for your safety. It's also important to us that you know:      We don't sell your information  We share information outside of USAA only as permitted by law for our everyday business purposes.   Your information is confidential  Our employees and the companies we contract with are obligated to hold member information in the strictest confidence.   We protect your information  We have physical security on site, rigorous security procedures and world-class virus/intrusion detection software in place.    Thank you for your continued trust in USAA.    Sincerely,         Gary D. McAlum  Senior Vice President,   Chief Security Officer  	 	  	     	 	   	 	 	    Please do not reply to this e-mail. To send a secure message to USAA, please contact us.   Privacy Promise  USAA     105950-0611        Security Preferences Update View Accounts |  Privacy Promise | Contact Us USAA SECURITY ZONE  Security and Privacy  			Center   Dear USAA Member, We have temporarily prevented access to your account. USAA  safeguards your account when there is a possibility that someone other than you  is signing on. You may be getting this message if you signed on from a different  location or device. If this is the case, your access may be restored when you  return to your normal sign on method. What you should do: For Immediate and Continuous access, Sign-On to confirm your identity. Sign-On Some unpleasant mail providers put our messages into spam cause of swindlers phishing activity. Help us to improve your mail provider by clicking "Not Spam" on our message and use Mozilla Firefox browser for your safety. It's also important to us that you know:  We don't sell your information — We share information outside of USAA only as permitted by law for our everyday business purposes.  Your information is confidential — Our employees and the companies we contract with are obligated to hold member information in the strictest confidence.  We protect your information — We have physical security on site, rigorous security procedures and world-class virus/intrusion detection software in place.  Thank you for your continued trust in USAA. Sincerely,   Gary D. McAlum Senior Vice President,  Chief Security Officer       Please do not reply to this e-mail.  To send a secure message to USAA, please  contact us. Privacy Promise      USAA      105950-0611</t>
        </is>
      </c>
      <c r="C156" t="n">
        <v>1</v>
      </c>
      <c r="D156" t="inlineStr">
        <is>
          <t>"USAA" &lt;codewizard@approject.com&gt;</t>
        </is>
      </c>
      <c r="E156" t="inlineStr">
        <is>
          <t>Recipients &lt;codewizard@approject.com&gt;</t>
        </is>
      </c>
      <c r="F156" t="inlineStr">
        <is>
          <t>Sat, 17 Dec 2016 15:26:14 -0700</t>
        </is>
      </c>
      <c r="G156" t="inlineStr">
        <is>
          <t>You got new message!</t>
        </is>
      </c>
      <c r="H156" t="inlineStr">
        <is>
          <t>Security Preferences Update    View Accounts | Privacy Promise | Contact Us 	  	       	 	    	 	    	 	   	    USAA SECURITY ZONE   Security and  Privacy  Center	   	    	    	    	    	    	            Dear USAA Member,     We have temporarily prevented access to your account. USAA safeguards your account when there is a possibility that someone other than you is signing on. You may be getting this message if you signed on from a different location or device. If this is the case, your access may be restored when you return to your normal sign on method.    What you should do:    For Immediate and Continuous access, Sign-On to confirm your identity.      	 Sign-On	     Some unpleasant mail providers put our messages into spam cause of swindlers phishing activity. Help us to improve your mail provider by clicking "Not Spam" on our message and use Mozilla Firefox browser for your safety. It's also important to us that you know:      We don't sell your information  We share information outside of USAA only as permitted by law for our everyday business purposes.   Your information is confidential  Our employees and the companies we contract with are obligated to hold member information in the strictest confidence.   We protect your information  We have physical security on site, rigorous security procedures and world-class virus/intrusion detection software in place.    Thank you for your continued trust in USAA.    Sincerely,         Gary D. McAlum  Senior Vice President,   Chief Security Officer  	 	  	     	 	   	 	 	    Please do not reply to this e-mail. To send a secure message to USAA, please contact us.   Privacy Promise  USAA     105950-0611        Security Preferences Update View Accounts |  Privacy Promise | Contact Us USAA SECURITY ZONE  Security and Privacy  			Center   Dear USAA Member, We have temporarily prevented access to your account. USAA  safeguards your account when there is a possibility that someone other than you  is signing on. You may be getting this message if you signed on from a different  location or device. If this is the case, your access may be restored when you  return to your normal sign on method. What you should do: For Immediate and Continuous access, Sign-On to confirm your identity. Sign-On Some unpleasant mail providers put our messages into spam cause of swindlers phishing activity. Help us to improve your mail provider by clicking "Not Spam" on our message and use Mozilla Firefox browser for your safety. It's also important to us that you know:  We don't sell your information — We share information outside of USAA only as permitted by law for our everyday business purposes.  Your information is confidential — Our employees and the companies we contract with are obligated to hold member information in the strictest confidence.  We protect your information — We have physical security on site, rigorous security procedures and world-class virus/intrusion detection software in place.  Thank you for your continued trust in USAA. Sincerely,   Gary D. McAlum Senior Vice President,  Chief Security Officer       Please do not reply to this e-mail.  To send a secure message to USAA, please  contact us. Privacy Promise      USAA      105950-0611</t>
        </is>
      </c>
      <c r="I156" t="inlineStr">
        <is>
          <t>Nazario phishing corpus (J. Nazario); файл Nazario.csv, рядок 431. Champa A. I., Rabbi M. F., Zibran M. F. Phishing Email Curated Datasets. Zenodo, 2023. DOI: 10.5281/zenodo.8339691</t>
        </is>
      </c>
    </row>
    <row r="157">
      <c r="A157" t="n">
        <v>156</v>
      </c>
      <c r="B157" t="inlineStr">
        <is>
          <t>monkey.org Notice: Verify your jose@monkey.org. 2018  monkey.org Update Dear jose@monkey.org Access to your e-mail is about to expire due to subsequent verification failure. Please Verify  ownership. Verify now  Best Regards, Note: if you don't comply, your [-email-] will be shutdown permanently. you have been given a few deadline 2018 © monkey.org</t>
        </is>
      </c>
      <c r="C157" t="n">
        <v>1</v>
      </c>
      <c r="D157" t="inlineStr">
        <is>
          <t>monkey.org    &lt;javalos@xktengineering.com&gt;</t>
        </is>
      </c>
      <c r="E157" t="inlineStr">
        <is>
          <t>jose@monkey.org</t>
        </is>
      </c>
      <c r="F157" t="inlineStr">
        <is>
          <t>05 Nov 2018 11:41:56 -0800</t>
        </is>
      </c>
      <c r="G157" t="inlineStr">
        <is>
          <t>monkey.org Notice: Verify your jose@monkey.org</t>
        </is>
      </c>
      <c r="H157" t="inlineStr">
        <is>
          <t>2018  monkey.org Update Dear jose@monkey.org Access to your e-mail is about to expire due to subsequent verification failure. Please Verify  ownership. Verify now  Best Regards, Note: if you don't comply, your [-email-] will be shutdown permanently. you have been given a few deadline 2018 © monkey.org</t>
        </is>
      </c>
      <c r="I157" t="inlineStr">
        <is>
          <t>Nazario phishing corpus (J. Nazario); файл Nazario.csv, рядок 905. Champa A. I., Rabbi M. F., Zibran M. F. Phishing Email Curated Datasets. Zenodo, 2023. DOI: 10.5281/zenodo.8339691</t>
        </is>
      </c>
    </row>
    <row r="158">
      <c r="A158" t="n">
        <v>157</v>
      </c>
      <c r="B158" t="inlineStr">
        <is>
          <t>re : intraday eastrans nomination change for 9 / 6 / 00. 10 , 545 will be delivered to mobil beaumont from cipco for 6 th only .
| - - - - - - - - + - - - - - - - - - - - - - - - - - - - - - - - &gt;
| | marta k |
| | henderson |
| | |
| | 09 / 06 / 00 |
| | 09 : 21 am |
| | |
| - - - - - - - - + - - - - - - - - - - - - - - - - - - - - - - - &gt;
| |
| to : darrel f . bane / easttexas / pefs / pec @ pec , john
a . |
| bretz / gcs / cec / pec @ pec , chad w . cass / gcs / cec / pec @ pec , michael
r . |
| cherry / easttexas / pefs / pec @ pec , bruce
mcmills / ftworth / pefs / pec @ pec , |
| william e . speckels / gcs / cec / pec @ pec , donna
c . |
| spencer / gcs / cec / pec @ pec , julia a . urbanek / gcs / cec / pec @ pec , dora
j . |
| levy / gcs / cec / pec @ pec , briley @ enron . com ,
dfarmer @ enron . com , |
| carlos . j . rodriguez @ enron . com , sharon
beemer / ftworth / pefs / pec @ pec , |
| connie
wester / easttexas / pefs / pec @ pec |
|
cc : |
| subject : intraday eastrans nomination change for
9 / 6 / 00 |
deliveries continue to be 30 , 000</t>
        </is>
      </c>
      <c r="C158" t="n">
        <v>0</v>
      </c>
      <c r="D158" t="inlineStr"/>
      <c r="E158" t="inlineStr"/>
      <c r="F158" t="inlineStr"/>
      <c r="G158" t="inlineStr">
        <is>
          <t>re : intraday eastrans nomination change for 9 / 6 / 00</t>
        </is>
      </c>
      <c r="H158" t="inlineStr">
        <is>
          <t>10 , 545 will be delivered to mobil beaumont from cipco for 6 th only .
| - - - - - - - - + - - - - - - - - - - - - - - - - - - - - - - - &gt;
| | marta k |
| | henderson |
| | |
| | 09 / 06 / 00 |
| | 09 : 21 am |
| | |
| - - - - - - - - + - - - - - - - - - - - - - - - - - - - - - - - &gt;
| |
| to : darrel f . bane / easttexas / pefs / pec @ pec , john
a . |
| bretz / gcs / cec / pec @ pec , chad w . cass / gcs / cec / pec @ pec , michael
r . |
| cherry / easttexas / pefs / pec @ pec , bruce
mcmills / ftworth / pefs / pec @ pec , |
| william e . speckels / gcs / cec / pec @ pec , donna
c . |
| spencer / gcs / cec / pec @ pec , julia a . urbanek / gcs / cec / pec @ pec , dora
j . |
| levy / gcs / cec / pec @ pec , briley @ enron . com ,
dfarmer @ enron . com , |
| carlos . j . rodriguez @ enron . com , sharon
beemer / ftworth / pefs / pec @ pec , |
| connie
wester / easttexas / pefs / pec @ pec |
|
cc : |
| subject : intraday eastrans nomination change for
9 / 6 / 00 |
deliveries continue to be 30 , 000</t>
        </is>
      </c>
      <c r="I158" t="inlineStr">
        <is>
          <t>Enron (легітимні листи, label 0); файл Enron.csv, рядок 1542. Champa A. I., Rabbi M. F., Zibran M. F. Phishing Email Curated Datasets. Zenodo, 2023. DOI: 10.5281/zenodo.8339691</t>
        </is>
      </c>
    </row>
    <row r="159">
      <c r="A159" t="n">
        <v>158</v>
      </c>
      <c r="B159" t="inlineStr">
        <is>
          <t>start date : 12 / 24 / 01 ; hourahead hour : 24 ;. start date : 12 / 24 / 01 ; hourahead hour : 24 ; no ancillary schedules awarded . no variances detected .
log messages :
parsing file - - &gt; &gt; o : \\ portland \\ westdesk \\ california scheduling \\ iso final schedules \\ 2001122424 . txt</t>
        </is>
      </c>
      <c r="C159" t="n">
        <v>0</v>
      </c>
      <c r="D159" t="inlineStr"/>
      <c r="E159" t="inlineStr"/>
      <c r="F159" t="inlineStr"/>
      <c r="G159" t="inlineStr">
        <is>
          <t>start date : 12 / 24 / 01 ; hourahead hour : 24 ;</t>
        </is>
      </c>
      <c r="H159" t="inlineStr">
        <is>
          <t>start date : 12 / 24 / 01 ; hourahead hour : 24 ; no ancillary schedules awarded . no variances detected .
log messages :
parsing file - - &gt; &gt; o : \\ portland \\ westdesk \\ california scheduling \\ iso final schedules \\ 2001122424 . txt</t>
        </is>
      </c>
      <c r="I159" t="inlineStr">
        <is>
          <t>Enron (легітимні листи, label 0); файл Enron.csv, рядок 16068. Champa A. I., Rabbi M. F., Zibran M. F. Phishing Email Curated Datasets. Zenodo, 2023. DOI: 10.5281/zenodo.8339691</t>
        </is>
      </c>
    </row>
    <row r="160">
      <c r="A160" t="n">
        <v>159</v>
      </c>
      <c r="B160" t="inlineStr">
        <is>
          <t>Account Security Message. Dear Member, We suspect your card information is in the hands of a third party because an attempt to carry  out multiple purchases has been declined. Please kindly login your account and update your  security information to protect your card account from any further infomation leak and fraudulent  activities. IMPORTANT INFORMATION ABOUT  View in Browser   Dear Member, We suspect your card information is in the hands of a third party because an attempt to carry  out multiple purchases has been declined. Please kindly login your account and update your  security information to protect your card account from any further infomation leak and fraudulent  activities. LOGIN HERE For your security you will prompted to answer your security questions you used to register with us  to better confirm your account ownership. Thank you for choosing Navy Federal Credit Union, we look forward to serving you more.. Thank you, NavyFederal Online Team. Equal Housing Lender | APY= Annual Percentage Yield | APR= Annual Percentage Rate. © 2019 Navy Federal Credit Union. All rights reserved. Message and data rates may apply. Terms and Conditions are available. NFCU 31226-F (7-16) IMPORTANT INFORMATION ABOUT ONLINE SECURITY.</t>
        </is>
      </c>
      <c r="C160" t="n">
        <v>1</v>
      </c>
      <c r="D160" t="inlineStr">
        <is>
          <t>Navy Federal &lt;kallen9@jhu.edu&gt;</t>
        </is>
      </c>
      <c r="E160" t="inlineStr">
        <is>
          <t>jose@monkey.org</t>
        </is>
      </c>
      <c r="F160" t="inlineStr">
        <is>
          <t>Sun, 08 Sep 2019 09:54:24 +0000 (UTC)</t>
        </is>
      </c>
      <c r="G160" t="inlineStr">
        <is>
          <t>Account Security Message</t>
        </is>
      </c>
      <c r="H160" t="inlineStr">
        <is>
          <t>Dear Member, We suspect your card information is in the hands of a third party because an attempt to carry  out multiple purchases has been declined. Please kindly login your account and update your  security information to protect your card account from any further infomation leak and fraudulent  activities. IMPORTANT INFORMATION ABOUT  View in Browser   Dear Member, We suspect your card information is in the hands of a third party because an attempt to carry  out multiple purchases has been declined. Please kindly login your account and update your  security information to protect your card account from any further infomation leak and fraudulent  activities. LOGIN HERE For your security you will prompted to answer your security questions you used to register with us  to better confirm your account ownership. Thank you for choosing Navy Federal Credit Union, we look forward to serving you more.. Thank you, NavyFederal Online Team. Equal Housing Lender | APY= Annual Percentage Yield | APR= Annual Percentage Rate. © 2019 Navy Federal Credit Union. All rights reserved. Message and data rates may apply. Terms and Conditions are available. NFCU 31226-F (7-16) IMPORTANT INFORMATION ABOUT ONLINE SECURITY.</t>
        </is>
      </c>
      <c r="I160" t="inlineStr">
        <is>
          <t>Nazario phishing corpus (J. Nazario); файл Nazario.csv, рядок 1084. Champa A. I., Rabbi M. F., Zibran M. F. Phishing Email Curated Datasets. Zenodo, 2023. DOI: 10.5281/zenodo.8339691</t>
        </is>
      </c>
    </row>
    <row r="161">
      <c r="A161" t="n">
        <v>160</v>
      </c>
      <c r="B161" t="inlineStr">
        <is>
          <t>enrononline executive summary for october 30 , 2001. following please find the daily enrononline executive summary .
note : effective as of monday of this week , the executive summary transaction
counts have been reduced to reflect the removal of sleeve trade activity .</t>
        </is>
      </c>
      <c r="C161" t="n">
        <v>0</v>
      </c>
      <c r="D161" t="inlineStr"/>
      <c r="E161" t="inlineStr"/>
      <c r="F161" t="inlineStr"/>
      <c r="G161" t="inlineStr">
        <is>
          <t>enrononline executive summary for october 30 , 2001</t>
        </is>
      </c>
      <c r="H161" t="inlineStr">
        <is>
          <t xml:space="preserve">following please find the daily enrononline executive summary .
note : effective as of monday of this week , the executive summary transaction
counts have been reduced to reflect the removal of sleeve trade activity .
</t>
        </is>
      </c>
      <c r="I161" t="inlineStr">
        <is>
          <t>Enron (легітимні листи, label 0); файл Enron.csv, рядок 14006. Champa A. I., Rabbi M. F., Zibran M. F. Phishing Email Curated Datasets. Zenodo, 2023. DOI: 10.5281/zenodo.8339691</t>
        </is>
      </c>
    </row>
    <row r="162">
      <c r="A162" t="n">
        <v>161</v>
      </c>
      <c r="B162" t="inlineStr">
        <is>
          <t>lone star points. daren , there were several points on your list that were previously created
and the remainder have been created , with the exception explained below .
donna and i researched your list and identified the ones that were on system
( which she would create ) and the ones that were off system ( which i would
create ) .
standard pooling stations and west texas ( line x ) pooling stations had no
meters , so they are not set up .
the hunt fairway plant ( 17 - 8477 - 01 ) was previously created as ( 178477 ) , i
need to know if the ( 01 ) needs to be added .
we need to verify hpl - texoma ( 17 - 0973 - 13 ) , it is set up as ( 17097613 ) . is
this the same point ? ? ?
please let donna and myself know how to proceed with the ones in red .
thanks ,
faye</t>
        </is>
      </c>
      <c r="C162" t="n">
        <v>0</v>
      </c>
      <c r="D162" t="inlineStr"/>
      <c r="E162" t="inlineStr"/>
      <c r="F162" t="inlineStr"/>
      <c r="G162" t="inlineStr">
        <is>
          <t>lone star points</t>
        </is>
      </c>
      <c r="H162" t="inlineStr">
        <is>
          <t>daren , there were several points on your list that were previously created
and the remainder have been created , with the exception explained below .
donna and i researched your list and identified the ones that were on system
( which she would create ) and the ones that were off system ( which i would
create ) .
standard pooling stations and west texas ( line x ) pooling stations had no
meters , so they are not set up .
the hunt fairway plant ( 17 - 8477 - 01 ) was previously created as ( 178477 ) , i
need to know if the ( 01 ) needs to be added .
we need to verify hpl - texoma ( 17 - 0973 - 13 ) , it is set up as ( 17097613 ) . is
this the same point ? ? ?
please let donna and myself know how to proceed with the ones in red .
thanks ,
faye</t>
        </is>
      </c>
      <c r="I162" t="inlineStr">
        <is>
          <t>Enron (легітимні листи, label 0); файл Enron.csv, рядок 3163. Champa A. I., Rabbi M. F., Zibran M. F. Phishing Email Curated Datasets. Zenodo, 2023. DOI: 10.5281/zenodo.8339691</t>
        </is>
      </c>
    </row>
    <row r="163">
      <c r="A163" t="n">
        <v>162</v>
      </c>
      <c r="B163" t="inlineStr">
        <is>
          <t>re : march real options conference. &gt;
this is a draft of what i was thinking of presenting . i was not planning to
go over any specific options or opas ( these are covered by confidentiality
clauses and i have to be careful from a competitive standpoint ) but to give
the audience a few of the " real world " applications and challenges . i
welcome any thoughts or comments .
gary
&gt; - - - - - - - - - -
&gt; from : peter tufano [ smtp : ptufano @ hbs . edu ]
&gt; sent : friday , february 18 , 2000 4 : 56 pm
&gt; to : vkamins @ ect . enron . com ; gljackson 2 @ tva . gov
&gt; subject : re : march real options conference
&gt;
&gt; dear vince and gary ,
&gt;
&gt; we are all speaking at the march real options session in ny . my work in
&gt; real options in the energy field has come , to a large part , from my
&gt; casewriting in your two organizations , so i feel that we should probably
&gt; allocate more time toward your presentations and less to mine . while we
&gt; have a two hour block among the three of us , i think we can freely
&gt; re - arrange things to produce the best result . would you two like to
&gt; schedule a brief conference call to coordinate our talks ? i am free
&gt; virtually all of next wednesday 2 / 23 , perhaps we could talk at 10 am ( est )
&gt; or 2 pm ( est ) ? i am happy to arrange the call , if you send me your phone
&gt; numbers . thanks .
&gt;
&gt; peter tufano
&gt;
&gt;
&gt; - - - - - - - - - - - - - - - - - - - - - - - - - - -
&gt; prof . peter tufano
&gt; harvard business school
&gt; morgan hall 377
&gt; soldiers field
&gt; boston , massachusetts 02163
&gt; phone : ( 617 ) 495 - 6855
&gt; fax : ( 617 ) 496 - 6592
&gt; email : ptufano @ hbs . edu
&gt; http : / / www . people . hbs . edu / ptufano
&gt;
- real options valuation in the new economy . ppt</t>
        </is>
      </c>
      <c r="C163" t="n">
        <v>0</v>
      </c>
      <c r="D163" t="inlineStr"/>
      <c r="E163" t="inlineStr"/>
      <c r="F163" t="inlineStr"/>
      <c r="G163" t="inlineStr">
        <is>
          <t>re : march real options conference</t>
        </is>
      </c>
      <c r="H163" t="inlineStr">
        <is>
          <t>&gt;
this is a draft of what i was thinking of presenting . i was not planning to
go over any specific options or opas ( these are covered by confidentiality
clauses and i have to be careful from a competitive standpoint ) but to give
the audience a few of the " real world " applications and challenges . i
welcome any thoughts or comments .
gary
&gt; - - - - - - - - - -
&gt; from : peter tufano [ smtp : ptufano @ hbs . edu ]
&gt; sent : friday , february 18 , 2000 4 : 56 pm
&gt; to : vkamins @ ect . enron . com ; gljackson 2 @ tva . gov
&gt; subject : re : march real options conference
&gt;
&gt; dear vince and gary ,
&gt;
&gt; we are all speaking at the march real options session in ny . my work in
&gt; real options in the energy field has come , to a large part , from my
&gt; casewriting in your two organizations , so i feel that we should probably
&gt; allocate more time toward your presentations and less to mine . while we
&gt; have a two hour block among the three of us , i think we can freely
&gt; re - arrange things to produce the best result . would you two like to
&gt; schedule a brief conference call to coordinate our talks ? i am free
&gt; virtually all of next wednesday 2 / 23 , perhaps we could talk at 10 am ( est )
&gt; or 2 pm ( est ) ? i am happy to arrange the call , if you send me your phone
&gt; numbers . thanks .
&gt;
&gt; peter tufano
&gt;
&gt;
&gt; - - - - - - - - - - - - - - - - - - - - - - - - - - -
&gt; prof . peter tufano
&gt; harvard business school
&gt; morgan hall 377
&gt; soldiers field
&gt; boston , massachusetts 02163
&gt; phone : ( 617 ) 495 - 6855
&gt; fax : ( 617 ) 496 - 6592
&gt; email : ptufano @ hbs . edu
&gt; http : / / www . people . hbs . edu / ptufano
&gt;
- real options valuation in the new economy . ppt</t>
        </is>
      </c>
      <c r="I163" t="inlineStr">
        <is>
          <t>Enron (легітимні листи, label 0); файл Enron.csv, рядок 7345. Champa A. I., Rabbi M. F., Zibran M. F. Phishing Email Curated Datasets. Zenodo, 2023. DOI: 10.5281/zenodo.8339691</t>
        </is>
      </c>
    </row>
    <row r="164">
      <c r="A164" t="n">
        <v>163</v>
      </c>
      <c r="B164" t="inlineStr">
        <is>
          <t>interview with ruewan jayasuriya. good morning ruwan :
the enron corp . research group would very much like to interview you on
friday , april 28 . the following schedule has been set up . please let me
know if it is not convenient for you .
friday , april 28 th :
1 : 00 pm vasant shanbhogue
1 : 30 pm vince kaminski
2 : 00 pm stinson gibner
2 : 30 pm krishna krishnarao
3 : 00 pm zimin lu
3 : 30 pm tanya tamarchenko
all interviews will be conducted in conference room eb 1938 .
please come to the reception desk in the lobby of the enron bldg . and ask
for me . they will call me and i will meet you in the 19 th floor elevator
lobby .
if you have any questions , please do not hesitate to call me .
sincerely ,
shirley crenshaw
administrative coordinator
enron corp . research
713 / 853 - 5290
email : shirley . crenshaw @ enron . com
- - - - - - - - - - - - - - - - - - - - - - forwarded by shirley crenshaw / hou / ect on 04 / 19 / 2000
09 : 03 am - - - - - - - - - - - - - - - - - - - - - - - - - - -
vince j kaminski
04 / 19 / 2000 08 : 56 am
to : shirley crenshaw / hou / ect @ ect
cc : pushkar shahi / hou / ect @ ect , vince j kaminski / hou / ect @ ect , stinson
gibner / hou / ect @ ect , tanya tamarchenko / hou / ect @ ect , zimin lu / hou / ect @ ect
subject : ruewan ' s resume
shirley ,
please set up an informal interview :
vk
vs
sg
kp
zl
tt
vince
- - - - - - - - - - - - - - - - - - - - - - forwarded by vince j kaminski / hou / ect on 04 / 19 / 2000
08 : 57 am - - - - - - - - - - - - - - - - - - - - - - - - - - -
pushkar shahi
04 / 18 / 2000 04 : 52 pm
to : vince j kaminski / hou / ect @ ect
cc :
subject : ruewan ' s resume
vince :
as discussed , i am forwarding ruwan ' s resume to you . ruwan is very excited
about meeting with you and elaborating on his qualifications . please let me
know a convenient time for next friday ( 4 / 28 / 00 ) when he could visit with
you ( or any other day next week at your convenience ) .
i have briefly explained to him the nature of the job at enron research
laying special stress on quantitative , programming and modelling experience .
ruwans seems very interested in that kind of work .
sincerely ,
pushkar shahi
financial trading</t>
        </is>
      </c>
      <c r="C164" t="n">
        <v>0</v>
      </c>
      <c r="D164" t="inlineStr"/>
      <c r="E164" t="inlineStr"/>
      <c r="F164" t="inlineStr"/>
      <c r="G164" t="inlineStr">
        <is>
          <t>interview with ruewan jayasuriya</t>
        </is>
      </c>
      <c r="H164" t="inlineStr">
        <is>
          <t>good morning ruwan :
the enron corp . research group would very much like to interview you on
friday , april 28 . the following schedule has been set up . please let me
know if it is not convenient for you .
friday , april 28 th :
1 : 00 pm vasant shanbhogue
1 : 30 pm vince kaminski
2 : 00 pm stinson gibner
2 : 30 pm krishna krishnarao
3 : 00 pm zimin lu
3 : 30 pm tanya tamarchenko
all interviews will be conducted in conference room eb 1938 .
please come to the reception desk in the lobby of the enron bldg . and ask
for me . they will call me and i will meet you in the 19 th floor elevator
lobby .
if you have any questions , please do not hesitate to call me .
sincerely ,
shirley crenshaw
administrative coordinator
enron corp . research
713 / 853 - 5290
email : shirley . crenshaw @ enron . com
- - - - - - - - - - - - - - - - - - - - - - forwarded by shirley crenshaw / hou / ect on 04 / 19 / 2000
09 : 03 am - - - - - - - - - - - - - - - - - - - - - - - - - - -
vince j kaminski
04 / 19 / 2000 08 : 56 am
to : shirley crenshaw / hou / ect @ ect
cc : pushkar shahi / hou / ect @ ect , vince j kaminski / hou / ect @ ect , stinson
gibner / hou / ect @ ect , tanya tamarchenko / hou / ect @ ect , zimin lu / hou / ect @ ect
subject : ruewan ' s resume
shirley ,
please set up an informal interview :
vk
vs
sg
kp
zl
tt
vince
- - - - - - - - - - - - - - - - - - - - - - forwarded by vince j kaminski / hou / ect on 04 / 19 / 2000
08 : 57 am - - - - - - - - - - - - - - - - - - - - - - - - - - -
pushkar shahi
04 / 18 / 2000 04 : 52 pm
to : vince j kaminski / hou / ect @ ect
cc :
subject : ruewan ' s resume
vince :
as discussed , i am forwarding ruwan ' s resume to you . ruwan is very excited
about meeting with you and elaborating on his qualifications . please let me
know a convenient time for next friday ( 4 / 28 / 00 ) when he could visit with
you ( or any other day next week at your convenience ) .
i have briefly explained to him the nature of the job at enron research
laying special stress on quantitative , programming and modelling experience .
ruwans seems very interested in that kind of work .
sincerely ,
pushkar shahi
financial trading</t>
        </is>
      </c>
      <c r="I164" t="inlineStr">
        <is>
          <t>Enron (легітимні листи, label 0); файл Enron.csv, рядок 4884. Champa A. I., Rabbi M. F., Zibran M. F. Phishing Email Curated Datasets. Zenodo, 2023. DOI: 10.5281/zenodo.8339691</t>
        </is>
      </c>
    </row>
    <row r="165">
      <c r="A165" t="n">
        <v>164</v>
      </c>
      <c r="B165" t="inlineStr">
        <is>
          <t>re : tony hamilton. tony hamilton reports to mike roberts in the houston office .
vince kaminski will answer these questions for you at any
given time .
tony ' s start date in london will be april 9 th
thanks
kevin moore
desleigh langfield
04 / 04 / 2001 08 : 29 am
to : kevin g moore / hou / ect @ ect
cc :
subject : tony hamilton
kevin
tani nath who heads up the structuring and research teams rang this morning
to get more information on tony .
can you tell me who he reports to in houston and whether that person will
continue to manage him remotely ?
what cost centre he should be charged to ? whose headcount he appears on , and
for what group he will be providing services for , tani was unsure on all of
the above and wants clarification .
also can you confirm his start date in london
thanks
desleigh
- - - - - - - - - - - - - - - - - - - - - - forwarded by desleigh langfield / lon / ect on 04 / 04 / 2001
14 : 27 - - - - - - - - - - - - - - - - - - - - - - - - - - -
desleigh langfield
06 / 03 / 2001 13 : 40
to : steven leppard / lon / ect @ ect
cc :
subject : tony hamilton
steve
all sorted and we will check later in the week with it that all is okay .
can you please tell your assistant to organise a desk for tony , no rush
obviously
thanks
desleigh
- - - - - - - - - - - - - - - - - - - - - - forwarded by desleigh langfield / lon / ect on 06 / 03 / 2001
13 : 38 - - - - - - - - - - - - - - - - - - - - - - - - - - -
desleigh langfield
06 / 03 / 2001 13 : 38
to : european resolution center / lon / ect @ ect
cc : kevin g moore / hou / ect @ ect , steven leppard / lon / ect @ ect , anna
seymour / lon / ect @ ect
subject : tony hamilton
hi
tony is a uk employee who starts next monday 12 th march 2001 , we have done a
quick start in nest today for him .
tony will be working his first month in the houston office , however we still
need to set up a log on and notes account here .
can you please send the log on and password for both accounts to kevin as he
will be meeting with tony on monday morning in the houston office .
tony will not have a desk arranged for him until he comes back in
approximately a month so no actual pc is necessary until then .
one question - with a uk log on and notes account , will tony be able to
access these from houston ? if it ' s complicated can you please let kevin know
how to do this .
any problems let me know
thanks
desleigh</t>
        </is>
      </c>
      <c r="C165" t="n">
        <v>0</v>
      </c>
      <c r="D165" t="inlineStr"/>
      <c r="E165" t="inlineStr"/>
      <c r="F165" t="inlineStr"/>
      <c r="G165" t="inlineStr">
        <is>
          <t>re : tony hamilton</t>
        </is>
      </c>
      <c r="H165" t="inlineStr">
        <is>
          <t>tony hamilton reports to mike roberts in the houston office .
vince kaminski will answer these questions for you at any
given time .
tony ' s start date in london will be april 9 th
thanks
kevin moore
desleigh langfield
04 / 04 / 2001 08 : 29 am
to : kevin g moore / hou / ect @ ect
cc :
subject : tony hamilton
kevin
tani nath who heads up the structuring and research teams rang this morning
to get more information on tony .
can you tell me who he reports to in houston and whether that person will
continue to manage him remotely ?
what cost centre he should be charged to ? whose headcount he appears on , and
for what group he will be providing services for , tani was unsure on all of
the above and wants clarification .
also can you confirm his start date in london
thanks
desleigh
- - - - - - - - - - - - - - - - - - - - - - forwarded by desleigh langfield / lon / ect on 04 / 04 / 2001
14 : 27 - - - - - - - - - - - - - - - - - - - - - - - - - - -
desleigh langfield
06 / 03 / 2001 13 : 40
to : steven leppard / lon / ect @ ect
cc :
subject : tony hamilton
steve
all sorted and we will check later in the week with it that all is okay .
can you please tell your assistant to organise a desk for tony , no rush
obviously
thanks
desleigh
- - - - - - - - - - - - - - - - - - - - - - forwarded by desleigh langfield / lon / ect on 06 / 03 / 2001
13 : 38 - - - - - - - - - - - - - - - - - - - - - - - - - - -
desleigh langfield
06 / 03 / 2001 13 : 38
to : european resolution center / lon / ect @ ect
cc : kevin g moore / hou / ect @ ect , steven leppard / lon / ect @ ect , anna
seymour / lon / ect @ ect
subject : tony hamilton
hi
tony is a uk employee who starts next monday 12 th march 2001 , we have done a
quick start in nest today for him .
tony will be working his first month in the houston office , however we still
need to set up a log on and notes account here .
can you please send the log on and password for both accounts to kevin as he
will be meeting with tony on monday morning in the houston office .
tony will not have a desk arranged for him until he comes back in
approximately a month so no actual pc is necessary until then .
one question - with a uk log on and notes account , will tony be able to
access these from houston ? if it ' s complicated can you please let kevin know
how to do this .
any problems let me know
thanks
desleigh</t>
        </is>
      </c>
      <c r="I165" t="inlineStr">
        <is>
          <t>Enron (легітимні листи, label 0); файл Enron.csv, рядок 8362. Champa A. I., Rabbi M. F., Zibran M. F. Phishing Email Curated Datasets. Zenodo, 2023. DOI: 10.5281/zenodo.8339691</t>
        </is>
      </c>
    </row>
    <row r="166">
      <c r="A166" t="n">
        <v>165</v>
      </c>
      <c r="B166" t="inlineStr">
        <is>
          <t>Last reminder : Your membership will be cenceled tomorrow , please update your information. Your account is on hold. Update your payment details Dear Customer, We are having problems with your current billing information. We will try again, but in the meantime, you may want to update your payment details. Update your information Need help? We are here if you need it. Visit the Help Center or contact us now. –Your friends on Netflix        Your account is on hold. Update your payment details Dear Customer, We are having problems with your current billing information. We will try again, but in the meantime, you may want to update your payment details. Update your information Need help? We are here if you need it. Visit the Help Center or contact us now. –Your friends on Netflix</t>
        </is>
      </c>
      <c r="C166" t="n">
        <v>1</v>
      </c>
      <c r="D166" t="inlineStr">
        <is>
          <t>Help Center &lt;pc91ilpxyiyb@davino.co.za&gt;</t>
        </is>
      </c>
      <c r="E166" t="inlineStr">
        <is>
          <t>jose@monkey.org</t>
        </is>
      </c>
      <c r="F166" t="inlineStr">
        <is>
          <t>Tue, 18 Oct 2022 14:06:40 +0000</t>
        </is>
      </c>
      <c r="G166" t="inlineStr">
        <is>
          <t>Last reminder : Your membership will be cenceled tomorrow , please update your information</t>
        </is>
      </c>
      <c r="H166" t="inlineStr">
        <is>
          <t>Your account is on hold. Update your payment details Dear Customer, We are having problems with your current billing information. We will try again, but in the meantime, you may want to update your payment details. Update your information Need help? We are here if you need it. Visit the Help Center or contact us now. –Your friends on Netflix        Your account is on hold. Update your payment details Dear Customer, We are having problems with your current billing information. We will try again, but in the meantime, you may want to update your payment details. Update your information Need help? We are here if you need it. Visit the Help Center or contact us now. –Your friends on Netflix</t>
        </is>
      </c>
      <c r="I166" t="inlineStr">
        <is>
          <t>Nazario phishing corpus (J. Nazario); файл Nazario.csv, рядок 1512. Champa A. I., Rabbi M. F., Zibran M. F. Phishing Email Curated Datasets. Zenodo, 2023. DOI: 10.5281/zenodo.8339691</t>
        </is>
      </c>
    </row>
    <row r="167">
      <c r="A167" t="n">
        <v>166</v>
      </c>
      <c r="B167" t="inlineStr">
        <is>
          <t>E-mail Sync Failure... E-mail Sync Failure. We received your instruction few hours ago to terminate your email  jose@monkey.org account on our server!  Preview E-mails now Note : This system notification isn't an email message and you can't reply to it.. 2019  Â© Email Admin</t>
        </is>
      </c>
      <c r="C167" t="n">
        <v>1</v>
      </c>
      <c r="D167" t="inlineStr">
        <is>
          <t>monkey.org support&lt;grace_villapando@rmrelectric.com.ph&gt;</t>
        </is>
      </c>
      <c r="E167" t="inlineStr">
        <is>
          <t>jose@monkey.org</t>
        </is>
      </c>
      <c r="F167" t="inlineStr">
        <is>
          <t>29 Aug 2019 16:35:57 -0700</t>
        </is>
      </c>
      <c r="G167" t="inlineStr">
        <is>
          <t>E-mail Sync Failure..</t>
        </is>
      </c>
      <c r="H167" t="inlineStr">
        <is>
          <t>E-mail Sync Failure. We received your instruction few hours ago to terminate your email  jose@monkey.org account on our server!  Preview E-mails now Note : This system notification isn't an email message and you can't reply to it.. 2019  Â© Email Admin</t>
        </is>
      </c>
      <c r="I167" t="inlineStr">
        <is>
          <t>Nazario phishing corpus (J. Nazario); файл Nazario.csv, рядок 1079. Champa A. I., Rabbi M. F., Zibran M. F. Phishing Email Curated Datasets. Zenodo, 2023. DOI: 10.5281/zenodo.8339691</t>
        </is>
      </c>
    </row>
    <row r="168">
      <c r="A168" t="n">
        <v>167</v>
      </c>
      <c r="B168" t="inlineStr">
        <is>
          <t>re : cocoa trading. i am going to watch this closely - you may get some feedback ! !
- - - - - - - - - - - - - - - - - - - - - - forwarded by mike jordan / lon / ect on 18 / 01 / 2001 13 : 57
- - - - - - - - - - - - - - - - - - - - - - - - - - -
andrew cornfield
17 / 01 / 2001 21 : 12
to : gary hickerson / hou / ect @ ect
cc : paul sentance / lon / ect @ ect , michael pitt / eu / enron @ enron , sheila
glover / hou / ect @ ect , michael j hutchinson / eu / enron @ enron ( bcc : mike
jordan / lon / ect )
subject : re : cocoa trading
gary
this follows on from discussions with rac regarding what the softs broker
traders are authorised for i . e . broking . if we are going to have them trading
positions then this needs to be transparent .
i ' m in germany tommorrow but can be reached on my mobile + 44 7973 740 478 if
you wish to discuss .
regards
andy
ed dablin @ enron
17 / 01 / 2001 17 : 14
to : gary hickerson / hou / ect @ ect , michael j hutchinson / eu / enron @ enron
cc : andrew cornfield / lon / ect @ ect , michael pitt / eu / enron @ enron
subject : cocoa trading
i have given nigel majurey and james willis discretion to trade 3 , 000 mt of
our 6 , 000 mt outright position limit . andy tells me i should have asked your
authority to delegate . can you confirm your approval or disapproval please</t>
        </is>
      </c>
      <c r="C168" t="n">
        <v>0</v>
      </c>
      <c r="D168" t="inlineStr"/>
      <c r="E168" t="inlineStr"/>
      <c r="F168" t="inlineStr"/>
      <c r="G168" t="inlineStr">
        <is>
          <t>re : cocoa trading</t>
        </is>
      </c>
      <c r="H168" t="inlineStr">
        <is>
          <t>i am going to watch this closely - you may get some feedback ! !
- - - - - - - - - - - - - - - - - - - - - - forwarded by mike jordan / lon / ect on 18 / 01 / 2001 13 : 57
- - - - - - - - - - - - - - - - - - - - - - - - - - -
andrew cornfield
17 / 01 / 2001 21 : 12
to : gary hickerson / hou / ect @ ect
cc : paul sentance / lon / ect @ ect , michael pitt / eu / enron @ enron , sheila
glover / hou / ect @ ect , michael j hutchinson / eu / enron @ enron ( bcc : mike
jordan / lon / ect )
subject : re : cocoa trading
gary
this follows on from discussions with rac regarding what the softs broker
traders are authorised for i . e . broking . if we are going to have them trading
positions then this needs to be transparent .
i ' m in germany tommorrow but can be reached on my mobile + 44 7973 740 478 if
you wish to discuss .
regards
andy
ed dablin @ enron
17 / 01 / 2001 17 : 14
to : gary hickerson / hou / ect @ ect , michael j hutchinson / eu / enron @ enron
cc : andrew cornfield / lon / ect @ ect , michael pitt / eu / enron @ enron
subject : cocoa trading
i have given nigel majurey and james willis discretion to trade 3 , 000 mt of
our 6 , 000 mt outright position limit . andy tells me i should have asked your
authority to delegate . can you confirm your approval or disapproval please</t>
        </is>
      </c>
      <c r="I168" t="inlineStr">
        <is>
          <t>Enron (легітимні листи, label 0); файл Enron.csv, рядок 22260. Champa A. I., Rabbi M. F., Zibran M. F. Phishing Email Curated Datasets. Zenodo, 2023. DOI: 10.5281/zenodo.8339691</t>
        </is>
      </c>
    </row>
    <row r="169">
      <c r="A169" t="n">
        <v>168</v>
      </c>
      <c r="B169" t="inlineStr">
        <is>
          <t>Dear Customer // Last warning. Dear Customer. We inform you that we automatically proceed to UPDATE your Mail Messaging. CLICK HERE(http://ecra.se/fPcz) To Perform your updates automatically. Office Messaging. Dear Customer. We inform you that we automatically proceed to UPDATE your Mail Messaging. CLICK HERE To Perform your updates automatically. Office Messaging.</t>
        </is>
      </c>
      <c r="C169" t="n">
        <v>1</v>
      </c>
      <c r="D169" t="inlineStr">
        <is>
          <t>"Delaunay Celine-Michele" &lt;Celine-Michele.Delaunay@ac-noumea.nc&gt;</t>
        </is>
      </c>
      <c r="E169" t="inlineStr"/>
      <c r="F169" t="inlineStr">
        <is>
          <t>Fri, 27 Nov 2015 23:36:28 GMT</t>
        </is>
      </c>
      <c r="G169" t="inlineStr">
        <is>
          <t>Dear Customer // Last warning</t>
        </is>
      </c>
      <c r="H169" t="inlineStr">
        <is>
          <t>Dear Customer. We inform you that we automatically proceed to UPDATE your Mail Messaging. CLICK HERE(http://ecra.se/fPcz) To Perform your updates automatically. Office Messaging. Dear Customer. We inform you that we automatically proceed to UPDATE your Mail Messaging. CLICK HERE To Perform your updates automatically. Office Messaging.</t>
        </is>
      </c>
      <c r="I169" t="inlineStr">
        <is>
          <t>Nazario phishing corpus (J. Nazario); файл Nazario.csv, рядок 43. Champa A. I., Rabbi M. F., Zibran M. F. Phishing Email Curated Datasets. Zenodo, 2023. DOI: 10.5281/zenodo.8339691</t>
        </is>
      </c>
    </row>
    <row r="170">
      <c r="A170" t="n">
        <v>169</v>
      </c>
      <c r="B170" t="inlineStr">
        <is>
          <t>structure for storage loans / deferred payment deals. the memo attached summarizes a structured deal that the market has shown some interest .
essentially , this deal allows an ldc to defer payment for gas and avoid carrying costs ( which may result in a dollar for dollar benefit to your customer ' s bottom line ) .
we have done two of these deals to date . ena has interest in additional deals ( albeit not an infinite appetite ) if the structure allows us to move them off the balance sheet .
please review the memo and target any of your customers that may have an interest .
each deal will require a new quote from credit and from the cost of funds group . gas structuring is set up to structure these deals and develop them through to execution .
please call me with any questions at x 36751</t>
        </is>
      </c>
      <c r="C170" t="n">
        <v>0</v>
      </c>
      <c r="D170" t="inlineStr"/>
      <c r="E170" t="inlineStr"/>
      <c r="F170" t="inlineStr"/>
      <c r="G170" t="inlineStr">
        <is>
          <t>structure for storage loans / deferred payment deals</t>
        </is>
      </c>
      <c r="H170" t="inlineStr">
        <is>
          <t>the memo attached summarizes a structured deal that the market has shown some interest .
essentially , this deal allows an ldc to defer payment for gas and avoid carrying costs ( which may result in a dollar for dollar benefit to your customer ' s bottom line ) .
we have done two of these deals to date . ena has interest in additional deals ( albeit not an infinite appetite ) if the structure allows us to move them off the balance sheet .
please review the memo and target any of your customers that may have an interest .
each deal will require a new quote from credit and from the cost of funds group . gas structuring is set up to structure these deals and develop them through to execution .
please call me with any questions at x 36751</t>
        </is>
      </c>
      <c r="I170" t="inlineStr">
        <is>
          <t>Enron (легітимні листи, label 0); файл Enron.csv, рядок 12927. Champa A. I., Rabbi M. F., Zibran M. F. Phishing Email Curated Datasets. Zenodo, 2023. DOI: 10.5281/zenodo.8339691</t>
        </is>
      </c>
    </row>
    <row r="171">
      <c r="A171" t="n">
        <v>170</v>
      </c>
      <c r="B171" t="inlineStr">
        <is>
          <t>re : offer. ken ,
either is really fine with me . i ' m glad to have you coming . i will be out
of the office on nov . 21 and the 22 nd is likely to be a short day for most
people , so starting on nov . 27 would probably work the best for us .
- - stinson
kenneth parkhill on 11 / 10 / 2000 03 : 59 : 42 pm
to : " stinson gibner ( e - mail ) "
cc :
subject : offer
stinson ,
i have talked with folks here at fn , and i am happy to say that may be able
to start at enron as soon as monday november 20 , the week of thanksgiving .
i am in the process of wrapping up my existing projects , but it appears that
things are coming together well , and i may be able to leave a little earlier
than i had thought . would you prefer that i start the week after
thanksgiving ?
ken
kenneth l . parkhill , p . e . , ph . d .
freese &amp; nichols , inc .
4055 international plaza , suite 200
fort worth , texas 76109 - 4895
817 . 735 . 7391
817 . 735 . 7491 ( fax )</t>
        </is>
      </c>
      <c r="C171" t="n">
        <v>0</v>
      </c>
      <c r="D171" t="inlineStr"/>
      <c r="E171" t="inlineStr"/>
      <c r="F171" t="inlineStr"/>
      <c r="G171" t="inlineStr">
        <is>
          <t>re : offer</t>
        </is>
      </c>
      <c r="H171" t="inlineStr">
        <is>
          <t xml:space="preserve">ken ,
either is really fine with me . i ' m glad to have you coming . i will be out
of the office on nov . 21 and the 22 nd is likely to be a short day for most
people , so starting on nov . 27 would probably work the best for us .
- - stinson
kenneth parkhill on 11 / 10 / 2000 03 : 59 : 42 pm
to : " stinson gibner ( e - mail ) "
cc :
subject : offer
stinson ,
i have talked with folks here at fn , and i am happy to say that may be able
to start at enron as soon as monday november 20 , the week of thanksgiving .
i am in the process of wrapping up my existing projects , but it appears that
things are coming together well , and i may be able to leave a little earlier
than i had thought . would you prefer that i start the week after
thanksgiving ?
ken
kenneth l . parkhill , p . e . , ph . d .
freese &amp; nichols , inc .
4055 international plaza , suite 200
fort worth , texas 76109 - 4895
817 . 735 . 7391
817 . 735 . 7491 ( fax )
</t>
        </is>
      </c>
      <c r="I171" t="inlineStr">
        <is>
          <t>Enron (легітимні листи, label 0); файл Enron.csv, рядок 8033. Champa A. I., Rabbi M. F., Zibran M. F. Phishing Email Curated Datasets. Zenodo, 2023. DOI: 10.5281/zenodo.8339691</t>
        </is>
      </c>
    </row>
    <row r="172">
      <c r="A172" t="n">
        <v>171</v>
      </c>
      <c r="B172" t="inlineStr">
        <is>
          <t>wharton entrepreneurship conference info .. this looks like a great opportunity for us . jeff
- - - - - - - - - - - - - - - - - - - - - - forwarded by jeffrey a shankman / hou / ect on 10 / 04 / 2000
05 : 54 pm - - - - - - - - - - - - - - - - - - - - - - - - - - -
kristin gandy @ enron
10 / 04 / 2000 02 : 14 pm
to : jeffrey a shankman / hou / ect @ ect
cc :
subject : wharton entrepreneurship conference info .
do you want to participate in this event ?
kristin
- - - - - - - - - - - - - - - - - - - - - - forwarded by kristin gandy / na / enron on 10 / 04 / 2000
02 : 08 am - - - - - - - - - - - - - - - - - - - - - - - - - - -
cassandra santos on 09 / 29 / 2000 01 : 04 : 21 pm
to : celeste . roberts @ enron . com
cc : kristin . gandy @ enron . com
subject : wharton entrepreneurship conference info .
dear celeste and kristin :
i am re - sending information regarding the wharton entrepreneurship
conference and the opportunities to sponsor the conference as well as
participate in the expo . we are expecting the conference to double in
size with more than 1000 attendees . in addition , we would like to
emphasize that the spirit of entrepreneurship is alive and well outside
of the " dot . com " world including in large , innovative companies such as
enron . we have already lined up some smash hit speakers including
christy jones of trilogy and pcorder as well as anita roddick of the
body shop . we would be very interested to have the participation of
enron in the conferences as a sponsor or at the very least , a
participant in our career expo .
thank you very much for your time and consideration .
sincerely ,
cassandra santos
co - chair , wharton entrepreneurship conference
215 . 732 . 7940 h
215 . 498 . 3243 w
- resend enron . doc
- fundraising packet 2000 . doc</t>
        </is>
      </c>
      <c r="C172" t="n">
        <v>0</v>
      </c>
      <c r="D172" t="inlineStr"/>
      <c r="E172" t="inlineStr"/>
      <c r="F172" t="inlineStr"/>
      <c r="G172" t="inlineStr">
        <is>
          <t>wharton entrepreneurship conference info .</t>
        </is>
      </c>
      <c r="H172" t="inlineStr">
        <is>
          <t>this looks like a great opportunity for us . jeff
- - - - - - - - - - - - - - - - - - - - - - forwarded by jeffrey a shankman / hou / ect on 10 / 04 / 2000
05 : 54 pm - - - - - - - - - - - - - - - - - - - - - - - - - - -
kristin gandy @ enron
10 / 04 / 2000 02 : 14 pm
to : jeffrey a shankman / hou / ect @ ect
cc :
subject : wharton entrepreneurship conference info .
do you want to participate in this event ?
kristin
- - - - - - - - - - - - - - - - - - - - - - forwarded by kristin gandy / na / enron on 10 / 04 / 2000
02 : 08 am - - - - - - - - - - - - - - - - - - - - - - - - - - -
cassandra santos on 09 / 29 / 2000 01 : 04 : 21 pm
to : celeste . roberts @ enron . com
cc : kristin . gandy @ enron . com
subject : wharton entrepreneurship conference info .
dear celeste and kristin :
i am re - sending information regarding the wharton entrepreneurship
conference and the opportunities to sponsor the conference as well as
participate in the expo . we are expecting the conference to double in
size with more than 1000 attendees . in addition , we would like to
emphasize that the spirit of entrepreneurship is alive and well outside
of the " dot . com " world including in large , innovative companies such as
enron . we have already lined up some smash hit speakers including
christy jones of trilogy and pcorder as well as anita roddick of the
body shop . we would be very interested to have the participation of
enron in the conferences as a sponsor or at the very least , a
participant in our career expo .
thank you very much for your time and consideration .
sincerely ,
cassandra santos
co - chair , wharton entrepreneurship conference
215 . 732 . 7940 h
215 . 498 . 3243 w
- resend enron . doc
- fundraising packet 2000 . doc</t>
        </is>
      </c>
      <c r="I172" t="inlineStr">
        <is>
          <t>Enron (легітимні листи, label 0); файл Enron.csv, рядок 5479. Champa A. I., Rabbi M. F., Zibran M. F. Phishing Email Curated Datasets. Zenodo, 2023. DOI: 10.5281/zenodo.8339691</t>
        </is>
      </c>
    </row>
    <row r="173">
      <c r="A173" t="n">
        <v>172</v>
      </c>
      <c r="B173" t="inlineStr">
        <is>
          <t>enron contact info. dear vince , christie and vasant :
thank you for the presentation to the enron tiger team . it was most
informative and well received by the students . this is an exciting project
and the students are enthusuastic and anxious to begin . many thanks , also ,
for hosting the dinner at the palladium . it was a wonderful opportunity to
get to know more about the project , as well the enron representatives and
the students .
listed below is the contact information with team contacts identified .
i will send you the teams project preferences as soon as i recieve them from
all the students .
it may be a good idea to contact the students before they leave for vacation
( 15 - 22 dec ) to see who is interested in a trip to houston in january for
planning purposes . they will return to campus jan . 16 .
please let me know if there is anything i can do to assist from this end .
again , thank you for your support of the wharton school and of the tiger
team project 2001 .
sincerely ,
donna piazze
program director
field application project
the wharton school
univ . of pennsylvania
( 215 ) 573 - 8394
( 215 ) 573 - 5727 fax
fap @ management . wharton . upenn . edu
piazze @ wharton . upenn . edu
enron 1 vincent chen vincent . chen . wgo 2 @ wharton . upenn . edu
enron 1 nick levitt
nicholas . levitt . wgo 2 @ wharton . upenn . edu
enron 1 deepa mallik mallikd @ wharton . upenn . edu
enron 1 jack rejtman jack . rejtman . wgo 2 @ wharton . upenn . edu
enron 1 kim whitsel whitselk @ wharton . upenn . edu
* * * team contact
enron 1 tulika bhalla bhallat @ wharton . upenn . edu
enron 2 jaideep singh singhjai @ wharton . upenn . edu
enron 2 edson otani edsono @ wharton . upenn . edu
enron 2 joshua leventhal levent 86 @ wharton . upenn . edu
* * * team contact
enron 2 pat henahan mhenahan @ wharton . upenn . edu
enron 2 murat camoglu camoglum @ wharton . upenn . edu
enron 2 gustavo palazzi gustavop @ wharton . upenn . edu
enron 3 clay degiacinto
enron 3 steve lessar
stephen . lessar . wgo 2 @ wharton . upenn . edu
enron 3 ram vittal mvittal @ wharton . upenn . edu
* * * team contact
enron 3 jason cummins marc . cummins . wgo 2 @ wharton . upenn . edu
enron 3 omar bassel bassalo @ wharton . upenn . edu
enron 3 dennis feerick
dennis . feerick . wgo 2 @ wharton . upenn . edu
professors : louis thomas thomas @ wharton . upenn . edu
keith weigelt weigelt @ wharton . upenn . edu
ta : heather thorne hethorne @ wharton . upenn . edu
fap : donna piazze piazze @ wharton . upenn . edu
host contacts :
vince kaminski vkamins @ enron . com
christie patick christie . patrick @ enron . com</t>
        </is>
      </c>
      <c r="C173" t="n">
        <v>0</v>
      </c>
      <c r="D173" t="inlineStr"/>
      <c r="E173" t="inlineStr"/>
      <c r="F173" t="inlineStr"/>
      <c r="G173" t="inlineStr">
        <is>
          <t>enron contact info</t>
        </is>
      </c>
      <c r="H173" t="inlineStr">
        <is>
          <t>dear vince , christie and vasant :
thank you for the presentation to the enron tiger team . it was most
informative and well received by the students . this is an exciting project
and the students are enthusuastic and anxious to begin . many thanks , also ,
for hosting the dinner at the palladium . it was a wonderful opportunity to
get to know more about the project , as well the enron representatives and
the students .
listed below is the contact information with team contacts identified .
i will send you the teams project preferences as soon as i recieve them from
all the students .
it may be a good idea to contact the students before they leave for vacation
( 15 - 22 dec ) to see who is interested in a trip to houston in january for
planning purposes . they will return to campus jan . 16 .
please let me know if there is anything i can do to assist from this end .
again , thank you for your support of the wharton school and of the tiger
team project 2001 .
sincerely ,
donna piazze
program director
field application project
the wharton school
univ . of pennsylvania
( 215 ) 573 - 8394
( 215 ) 573 - 5727 fax
fap @ management . wharton . upenn . edu
piazze @ wharton . upenn . edu
enron 1 vincent chen vincent . chen . wgo 2 @ wharton . upenn . edu
enron 1 nick levitt
nicholas . levitt . wgo 2 @ wharton . upenn . edu
enron 1 deepa mallik mallikd @ wharton . upenn . edu
enron 1 jack rejtman jack . rejtman . wgo 2 @ wharton . upenn . edu
enron 1 kim whitsel whitselk @ wharton . upenn . edu
* * * team contact
enron 1 tulika bhalla bhallat @ wharton . upenn . edu
enron 2 jaideep singh singhjai @ wharton . upenn . edu
enron 2 edson otani edsono @ wharton . upenn . edu
enron 2 joshua leventhal levent 86 @ wharton . upenn . edu
* * * team contact
enron 2 pat henahan mhenahan @ wharton . upenn . edu
enron 2 murat camoglu camoglum @ wharton . upenn . edu
enron 2 gustavo palazzi gustavop @ wharton . upenn . edu
enron 3 clay degiacinto
enron 3 steve lessar
stephen . lessar . wgo 2 @ wharton . upenn . edu
enron 3 ram vittal mvittal @ wharton . upenn . edu
* * * team contact
enron 3 jason cummins marc . cummins . wgo 2 @ wharton . upenn . edu
enron 3 omar bassel bassalo @ wharton . upenn . edu
enron 3 dennis feerick
dennis . feerick . wgo 2 @ wharton . upenn . edu
professors : louis thomas thomas @ wharton . upenn . edu
keith weigelt weigelt @ wharton . upenn . edu
ta : heather thorne hethorne @ wharton . upenn . edu
fap : donna piazze piazze @ wharton . upenn . edu
host contacts :
vince kaminski vkamins @ enron . com
christie patick christie . patrick @ enron . com</t>
        </is>
      </c>
      <c r="I173" t="inlineStr">
        <is>
          <t>Enron (легітимні листи, label 0); файл Enron.csv, рядок 5379. Champa A. I., Rabbi M. F., Zibran M. F. Phishing Email Curated Datasets. Zenodo, 2023. DOI: 10.5281/zenodo.8339691</t>
        </is>
      </c>
    </row>
    <row r="174">
      <c r="A174" t="n">
        <v>173</v>
      </c>
      <c r="B174" t="inlineStr">
        <is>
          <t>re : remaining ua 4 meter variances. last one , shawnee springs meter 986315 . purchase should be from torch on the
215 . . . . was on deal ticket 138605 , which expired in september , and has been
allocated to up until nov . i think that torch is now cleco . there should
be a purch . at the meter . once we get the last two , you are done .
mary</t>
        </is>
      </c>
      <c r="C174" t="n">
        <v>0</v>
      </c>
      <c r="D174" t="inlineStr"/>
      <c r="E174" t="inlineStr"/>
      <c r="F174" t="inlineStr"/>
      <c r="G174" t="inlineStr">
        <is>
          <t>re : remaining ua 4 meter variances</t>
        </is>
      </c>
      <c r="H174" t="inlineStr">
        <is>
          <t>last one , shawnee springs meter 986315 . purchase should be from torch on the
215 . . . . was on deal ticket 138605 , which expired in september , and has been
allocated to up until nov . i think that torch is now cleco . there should
be a purch . at the meter . once we get the last two , you are done .
mary</t>
        </is>
      </c>
      <c r="I174" t="inlineStr">
        <is>
          <t>Enron (легітимні листи, label 0); файл Enron.csv, рядок 2776. Champa A. I., Rabbi M. F., Zibran M. F. Phishing Email Curated Datasets. Zenodo, 2023. DOI: 10.5281/zenodo.8339691</t>
        </is>
      </c>
    </row>
    <row r="175">
      <c r="A175" t="n">
        <v>174</v>
      </c>
      <c r="B175" t="inlineStr">
        <is>
          <t>re : industrials. robert ,
how do we look on the industrial deadlines ? please let me know . thanks ,
pat
daren j farmer @ ect
06 / 28 / 2000 11 : 19 am
to : pat clynes / corp / enron @ enron
cc :
subject : industrials
when will the buybacks and swings be set up for july ? i am a little
concerned with the long weekend coming up . i believe that we agreed that
these would be set up by the 3 rd work day , which would be friday the 7 th .
( six days of flow . ) i definitely don ' t think that we should any later . it
would be great if this could be handled sooner , miimizing our economic impact .
additionally , we need to get the industrial spreadsheet up and running
again . this report is very beneficial to gas control , industrial traders and
schedulers on call .
let me know what you think .
d</t>
        </is>
      </c>
      <c r="C175" t="n">
        <v>0</v>
      </c>
      <c r="D175" t="inlineStr"/>
      <c r="E175" t="inlineStr"/>
      <c r="F175" t="inlineStr"/>
      <c r="G175" t="inlineStr">
        <is>
          <t>re : industrials</t>
        </is>
      </c>
      <c r="H175" t="inlineStr">
        <is>
          <t>robert ,
how do we look on the industrial deadlines ? please let me know . thanks ,
pat
daren j farmer @ ect
06 / 28 / 2000 11 : 19 am
to : pat clynes / corp / enron @ enron
cc :
subject : industrials
when will the buybacks and swings be set up for july ? i am a little
concerned with the long weekend coming up . i believe that we agreed that
these would be set up by the 3 rd work day , which would be friday the 7 th .
( six days of flow . ) i definitely don ' t think that we should any later . it
would be great if this could be handled sooner , miimizing our economic impact .
additionally , we need to get the industrial spreadsheet up and running
again . this report is very beneficial to gas control , industrial traders and
schedulers on call .
let me know what you think .
d</t>
        </is>
      </c>
      <c r="I175" t="inlineStr">
        <is>
          <t>Enron (легітимні листи, label 0); файл Enron.csv, рядок 2048. Champa A. I., Rabbi M. F., Zibran M. F. Phishing Email Curated Datasets. Zenodo, 2023. DOI: 10.5281/zenodo.8339691</t>
        </is>
      </c>
    </row>
    <row r="176">
      <c r="A176" t="n">
        <v>175</v>
      </c>
      <c r="B176" t="inlineStr">
        <is>
          <t>in preparation for our 4 : 30 mtg. here is the first draft attempt - since you will be in monterrey tomorrow , i though it would be appropriate to draft as much of the final document as possible .
did you get my parking space ? : ) my poor little car will be a target .
mrha</t>
        </is>
      </c>
      <c r="C176" t="n">
        <v>0</v>
      </c>
      <c r="D176" t="inlineStr"/>
      <c r="E176" t="inlineStr"/>
      <c r="F176" t="inlineStr"/>
      <c r="G176" t="inlineStr">
        <is>
          <t>in preparation for our 4 : 30 mtg</t>
        </is>
      </c>
      <c r="H176" t="inlineStr">
        <is>
          <t>here is the first draft attempt - since you will be in monterrey tomorrow , i though it would be appropriate to draft as much of the final document as possible .
did you get my parking space ? : ) my poor little car will be a target .
mrha</t>
        </is>
      </c>
      <c r="I176" t="inlineStr">
        <is>
          <t>Enron (легітимні листи, label 0); файл Enron.csv, рядок 11839. Champa A. I., Rabbi M. F., Zibran M. F. Phishing Email Curated Datasets. Zenodo, 2023. DOI: 10.5281/zenodo.8339691</t>
        </is>
      </c>
    </row>
    <row r="177">
      <c r="A177" t="n">
        <v>176</v>
      </c>
      <c r="B177" t="inlineStr">
        <is>
          <t>fw : meritocracy re : management sub - committee. robert ,
please see the message below . based on the meeting we had last week , i was wondering how the list of diversified candidates that we can use to represent our meritocratic culture is coming . we would like to have a portfolio of at least 100 names that represent all levels and all commercial and non - commercial functions within the company . enron seems to have a tendency to " reuse " the same poster candidates over and over again and so targeting this diversified portfolio of employees that are franchise players representing enron ' s merit system would have immediate public relations uses as well .
please contact me .
best regards , jean
- - - - - original message - - - - -
from : mrha , jean
sent : tuesday , august 14 , 2001 11 : 21 am
to : adams , gregory ; corman , shelley ; kimberly , kelly ; lewis , richard ; shanbhogue , vasant
cc : kitchen , louise
subject : meritocracy re : management sub - committee
importance : high
based on today ' s meeting , please complete the following :
look at the bullet points related to prtm ' s definition of a meritocracy and redefine those points to represent enron ' s meritocratic culture .
as recommended by louise , substitute the word " client " to enron .
mail to me a . s . a . p . your distinctive bullets .
i will lump everyone ' s bullet points together and we can choose from the best .
in addition , i will touch base with robert jones to make sure that we are targeting at least a 100 candidates with a variety of backgrounds that we can relate back to each meritocracy bullet point .
any questions , please email or call me x 31931 .
regards , mrha</t>
        </is>
      </c>
      <c r="C177" t="n">
        <v>0</v>
      </c>
      <c r="D177" t="inlineStr"/>
      <c r="E177" t="inlineStr"/>
      <c r="F177" t="inlineStr"/>
      <c r="G177" t="inlineStr">
        <is>
          <t>fw : meritocracy re : management sub - committee</t>
        </is>
      </c>
      <c r="H177" t="inlineStr">
        <is>
          <t>robert ,
please see the message below . based on the meeting we had last week , i was wondering how the list of diversified candidates that we can use to represent our meritocratic culture is coming . we would like to have a portfolio of at least 100 names that represent all levels and all commercial and non - commercial functions within the company . enron seems to have a tendency to " reuse " the same poster candidates over and over again and so targeting this diversified portfolio of employees that are franchise players representing enron ' s merit system would have immediate public relations uses as well .
please contact me .
best regards , jean
- - - - - original message - - - - -
from : mrha , jean
sent : tuesday , august 14 , 2001 11 : 21 am
to : adams , gregory ; corman , shelley ; kimberly , kelly ; lewis , richard ; shanbhogue , vasant
cc : kitchen , louise
subject : meritocracy re : management sub - committee
importance : high
based on today ' s meeting , please complete the following :
look at the bullet points related to prtm ' s definition of a meritocracy and redefine those points to represent enron ' s meritocratic culture .
as recommended by louise , substitute the word " client " to enron .
mail to me a . s . a . p . your distinctive bullets .
i will lump everyone ' s bullet points together and we can choose from the best .
in addition , i will touch base with robert jones to make sure that we are targeting at least a 100 candidates with a variety of backgrounds that we can relate back to each meritocracy bullet point .
any questions , please email or call me x 31931 .
regards , mrha</t>
        </is>
      </c>
      <c r="I177" t="inlineStr">
        <is>
          <t>Enron (легітимні листи, label 0); файл Enron.csv, рядок 13579. Champa A. I., Rabbi M. F., Zibran M. F. Phishing Email Curated Datasets. Zenodo, 2023. DOI: 10.5281/zenodo.8339691</t>
        </is>
      </c>
    </row>
    <row r="178">
      <c r="A178" t="n">
        <v>177</v>
      </c>
      <c r="B178" t="inlineStr">
        <is>
          <t>wharton risk center advisory committee meeting - june 14 , 2001. to : advisory committee members
from : paul r . kleindorfer
howard kunreuther
date : march 12 , 2001
subject : our next advisory committee meeting
just to let you know that our next advisory committee meeting will be on
thursday , june 14 , 2001 . we will be sending the agenda and more details in
late march or early april . the principal theme of this meeting of the
advisory committee will be " markets and regulation for efficient risk
management " .
we would appreciate your letting theresa convery know your attendance by
returning a completed response form ( copy attached ) via fax or email as soon
as possible .
fax : ( 215 ) 573 - 2130
phone : ( 215 ) 898 - 5688
email : tconvery @ wharton . upenn . edu
&gt;
~ ~ ~ ~ ~ ~ ~ ~ ~ ~ ~ ~ ~ ~ ~ ~ ~ ~ ~ ~ ~ ~ ~ ~ ~ ~ ~ ~ ~ ~ ~ ~ ~
theresa convery
administrative assistant
risk and decision processes center
the wharton school of the university of pennsylvania
( 215 ) 898 - 5688 / fax : ( 215 ) 573 - 2130
tconvery @ wharton . upenn . edu
- response form . doc</t>
        </is>
      </c>
      <c r="C178" t="n">
        <v>0</v>
      </c>
      <c r="D178" t="inlineStr"/>
      <c r="E178" t="inlineStr"/>
      <c r="F178" t="inlineStr"/>
      <c r="G178" t="inlineStr">
        <is>
          <t>wharton risk center advisory committee meeting - june 14 , 2001</t>
        </is>
      </c>
      <c r="H178" t="inlineStr">
        <is>
          <t>to : advisory committee members
from : paul r . kleindorfer
howard kunreuther
date : march 12 , 2001
subject : our next advisory committee meeting
just to let you know that our next advisory committee meeting will be on
thursday , june 14 , 2001 . we will be sending the agenda and more details in
late march or early april . the principal theme of this meeting of the
advisory committee will be " markets and regulation for efficient risk
management " .
we would appreciate your letting theresa convery know your attendance by
returning a completed response form ( copy attached ) via fax or email as soon
as possible .
fax : ( 215 ) 573 - 2130
phone : ( 215 ) 898 - 5688
email : tconvery @ wharton . upenn . edu
&gt;
~ ~ ~ ~ ~ ~ ~ ~ ~ ~ ~ ~ ~ ~ ~ ~ ~ ~ ~ ~ ~ ~ ~ ~ ~ ~ ~ ~ ~ ~ ~ ~ ~
theresa convery
administrative assistant
risk and decision processes center
the wharton school of the university of pennsylvania
( 215 ) 898 - 5688 / fax : ( 215 ) 573 - 2130
tconvery @ wharton . upenn . edu
- response form . doc</t>
        </is>
      </c>
      <c r="I178" t="inlineStr">
        <is>
          <t>Enron (легітимні листи, label 0); файл Enron.csv, рядок 7408. Champa A. I., Rabbi M. F., Zibran M. F. Phishing Email Curated Datasets. Zenodo, 2023. DOI: 10.5281/zenodo.8339691</t>
        </is>
      </c>
    </row>
    <row r="179">
      <c r="A179" t="n">
        <v>178</v>
      </c>
      <c r="B179" t="inlineStr">
        <is>
          <t>re : nom / actual volume for april 17 th. we agree
" eileen ponton " on 04 / 18 / 2001 10 : 48 : 19 am
to : david avila / lsp / enserch / us @ tu , charlie stone / texas utilities @ tu , melissa
jones / texas utilities @ tu , hpl . scheduling @ enron . com , liz . bellamy @ enron . com
cc :
subject : nom / actual volume for april 17 th
nom mcf mmbtu
50 , 000 48 , 264 49 , 568
btu = 1 . 027</t>
        </is>
      </c>
      <c r="C179" t="n">
        <v>0</v>
      </c>
      <c r="D179" t="inlineStr"/>
      <c r="E179" t="inlineStr"/>
      <c r="F179" t="inlineStr"/>
      <c r="G179" t="inlineStr">
        <is>
          <t>re : nom / actual volume for april 17 th</t>
        </is>
      </c>
      <c r="H179" t="inlineStr">
        <is>
          <t>we agree
" eileen ponton " on 04 / 18 / 2001 10 : 48 : 19 am
to : david avila / lsp / enserch / us @ tu , charlie stone / texas utilities @ tu , melissa
jones / texas utilities @ tu , hpl . scheduling @ enron . com , liz . bellamy @ enron . com
cc :
subject : nom / actual volume for april 17 th
nom mcf mmbtu
50 , 000 48 , 264 49 , 568
btu = 1 . 027</t>
        </is>
      </c>
      <c r="I179" t="inlineStr">
        <is>
          <t>Enron (легітимні листи, label 0); файл Enron.csv, рядок 247. Champa A. I., Rabbi M. F., Zibran M. F. Phishing Email Curated Datasets. Zenodo, 2023. DOI: 10.5281/zenodo.8339691</t>
        </is>
      </c>
    </row>
    <row r="180">
      <c r="A180" t="n">
        <v>179</v>
      </c>
      <c r="B180" t="inlineStr">
        <is>
          <t>re : address. confirmed
- - - - - original message - - - - -
from : vince . j . kaminski @ enron . com [ mailto : vince . j . kaminski @ enron . com ]
sent : friday , june 02 , 2000 03 : 21 pm
to : deangelo , david j .
cc : vince . j . kaminski @ enron . com
subject : address
vincent kaminski
managing director
enron corp .
1400 smith street , room 1962
houston , tx 77251 - 1188
phone : ( 713 ) 853 3848
fax : ( 713 ) 646 2503
e - mail : vkamins @ enron . com</t>
        </is>
      </c>
      <c r="C180" t="n">
        <v>0</v>
      </c>
      <c r="D180" t="inlineStr"/>
      <c r="E180" t="inlineStr"/>
      <c r="F180" t="inlineStr"/>
      <c r="G180" t="inlineStr">
        <is>
          <t>re : address</t>
        </is>
      </c>
      <c r="H180" t="inlineStr">
        <is>
          <t>confirmed
- - - - - original message - - - - -
from : vince . j . kaminski @ enron . com [ mailto : vince . j . kaminski @ enron . com ]
sent : friday , june 02 , 2000 03 : 21 pm
to : deangelo , david j .
cc : vince . j . kaminski @ enron . com
subject : address
vincent kaminski
managing director
enron corp .
1400 smith street , room 1962
houston , tx 77251 - 1188
phone : ( 713 ) 853 3848
fax : ( 713 ) 646 2503
e - mail : vkamins @ enron . com</t>
        </is>
      </c>
      <c r="I180" t="inlineStr">
        <is>
          <t>Enron (легітимні листи, label 0); файл Enron.csv, рядок 6274. Champa A. I., Rabbi M. F., Zibran M. F. Phishing Email Curated Datasets. Zenodo, 2023. DOI: 10.5281/zenodo.8339691</t>
        </is>
      </c>
    </row>
    <row r="181">
      <c r="A181" t="n">
        <v>180</v>
      </c>
      <c r="B181" t="inlineStr">
        <is>
          <t>re : severance re canada. i spoke with michelle last night and from our perspective we are ok with you going ahead today with the severance packages . i presume louise or john have had a chance to look at names and the overall severance number .
dawn , you need to make sure peter has checked severance calc logic , i have no way of checking whether this is reasonable . obviously it is better than we have been able to do for people let go here and in london ( which in of itself is not a concern presuming peter / rob agree it ' s reasonable and in line with what other companies have done up there ) .
on retention , i need to see list of proposed numbers . ideally i ' d like to have these paid with the other in houston we are hoping to pay in the coming weeks . i need to discuss with louise / john whether they agree it is ok to go ahead and do the canadian ahead of time . in theory i agree .
david
- - - - - original message - - - - -
from : dawn [ mailto : dawn . doucet @ home . com ]
sent : thursday , december 06 , 2001 9 : 58 pm
to : oxley , david
subject : severance re canada
david ,
i ' ve attached the severance calculations for the canada employees . it ' s pretty close to being finalized but i will be meeting with milly in the morning for one last " kick at the cat . " then , we ' ll start putting together packages i . e . letter , release , benefits information , record of employment , etc . by the sound of it , milly wants to conduct the terminations on monday . we can pull packages together by then but we ' ll have to discuss the process to determine if we can handle that many in a " careful " manner .
in a nutshell , my initial recommendation will be to have the supervisors meet with all the affected employees in their groups fairly early monday morning and then have the employees meet with hr individually to discuss their packages ( a schedule will be provided to each ) and to answer any immediate questions . tricia and i should then be able to meet with all the affected employees before lunch . while they wait to receive their packages , they can be cleaning out their personal belongings , saying their good - byes , etc . the supervisors can be close by to monitor the situation to ensure things remain controlled . i would try to pull together " talking points " to assist the supervisors and spend some time with them to discuss what they need to say as well as what they need to be aware of and sensitive to . for the toronto employees , i would have to coordinate with the supervisors and handle the package discussion over the phone . i ' ve thought about other ways to handle this but this was the best solution i could come up with - any suggestions you have would be welcome ? . ( am i nuts to think we can get this done on monday ? ! )
we ' ll also get together first thing tomorrow morning to put some bonus numbers together for the key employees that have not been paid yet . and , i ' ll talk to him about the idea of forward payments for transition employees ( category 2 ) .
the category " 1 " employees who have not been paid performance / retention bonuses include :
biever , jason
lalani , sean
savidant , mike
burnham , steve
drozdiak , dean
hrap , gerry
oh , grant
sangwine , howard
tripp , garrett
borg , jeff
dorland , dan
ellis , dave
let me know if you have any concerns , david ? .</t>
        </is>
      </c>
      <c r="C181" t="n">
        <v>0</v>
      </c>
      <c r="D181" t="inlineStr"/>
      <c r="E181" t="inlineStr"/>
      <c r="F181" t="inlineStr"/>
      <c r="G181" t="inlineStr">
        <is>
          <t>re : severance re canada</t>
        </is>
      </c>
      <c r="H181" t="inlineStr">
        <is>
          <t>i spoke with michelle last night and from our perspective we are ok with you going ahead today with the severance packages . i presume louise or john have had a chance to look at names and the overall severance number .
dawn , you need to make sure peter has checked severance calc logic , i have no way of checking whether this is reasonable . obviously it is better than we have been able to do for people let go here and in london ( which in of itself is not a concern presuming peter / rob agree it ' s reasonable and in line with what other companies have done up there ) .
on retention , i need to see list of proposed numbers . ideally i ' d like to have these paid with the other in houston we are hoping to pay in the coming weeks . i need to discuss with louise / john whether they agree it is ok to go ahead and do the canadian ahead of time . in theory i agree .
david
- - - - - original message - - - - -
from : dawn [ mailto : dawn . doucet @ home . com ]
sent : thursday , december 06 , 2001 9 : 58 pm
to : oxley , david
subject : severance re canada
david ,
i ' ve attached the severance calculations for the canada employees . it ' s pretty close to being finalized but i will be meeting with milly in the morning for one last " kick at the cat . " then , we ' ll start putting together packages i . e . letter , release , benefits information , record of employment , etc . by the sound of it , milly wants to conduct the terminations on monday . we can pull packages together by then but we ' ll have to discuss the process to determine if we can handle that many in a " careful " manner .
in a nutshell , my initial recommendation will be to have the supervisors meet with all the affected employees in their groups fairly early monday morning and then have the employees meet with hr individually to discuss their packages ( a schedule will be provided to each ) and to answer any immediate questions . tricia and i should then be able to meet with all the affected employees before lunch . while they wait to receive their packages , they can be cleaning out their personal belongings , saying their good - byes , etc . the supervisors can be close by to monitor the situation to ensure things remain controlled . i would try to pull together " talking points " to assist the supervisors and spend some time with them to discuss what they need to say as well as what they need to be aware of and sensitive to . for the toronto employees , i would have to coordinate with the supervisors and handle the package discussion over the phone . i ' ve thought about other ways to handle this but this was the best solution i could come up with - any suggestions you have would be welcome ? . ( am i nuts to think we can get this done on monday ? ! )
we ' ll also get together first thing tomorrow morning to put some bonus numbers together for the key employees that have not been paid yet . and , i ' ll talk to him about the idea of forward payments for transition employees ( category 2 ) .
the category " 1 " employees who have not been paid performance / retention bonuses include :
biever , jason
lalani , sean
savidant , mike
burnham , steve
drozdiak , dean
hrap , gerry
oh , grant
sangwine , howard
tripp , garrett
borg , jeff
dorland , dan
ellis , dave
let me know if you have any concerns , david ? .</t>
        </is>
      </c>
      <c r="I181" t="inlineStr">
        <is>
          <t>Enron (легітимні листи, label 0); файл Enron.csv, рядок 14294. Champa A. I., Rabbi M. F., Zibran M. F. Phishing Email Curated Datasets. Zenodo, 2023. DOI: 10.5281/zenodo.8339691</t>
        </is>
      </c>
    </row>
    <row r="182">
      <c r="A182" t="n">
        <v>181</v>
      </c>
      <c r="B182" t="inlineStr">
        <is>
          <t>RE: IT Service Desk Support.. ATTN: Outlook Web Access User, Take note of this important update that our new webmail has been improved with a new messaging system from Outlook Web Access which also include faster usage on email, shared calendar,web-documents and the new 2016 anti-spam version. Please use the outlook web access link below to complete your update for our new Outlook Web Access improved webmail. CLICK HERE TO UPDATE NOTE: Failure to do this within 24 hours of receiving this notice we will immediately render your Outlook Web App account deactivated from our  database and you cannot hold us responsible since you fail to adhere to our request. ___________________ Regards, IT Service Desk Support. Admin Team. ATTN:  Outlook Web Access User, Take note of this important update that our new webmail has been improved with a new messaging system from Outlook Web Access which also include faster usage on email, shared  calendar,web-documents and the new 2016 anti-spam version. Please use the outlook web access link below to complete your update for our new Outlook Web Access improved webmail. CLICK HERE TO UPDATE NOTE: Failure to do this within 24 hours of receiving this notice we will immediately render your Outlook Web App account deactivated from our  database and you cannot hold  us responsible since you fail to adhere to our request. ___________________ Regards, IT Service Desk Support. Admin Team.</t>
        </is>
      </c>
      <c r="C182" t="n">
        <v>1</v>
      </c>
      <c r="D182" t="inlineStr">
        <is>
          <t>"Wang, Jenny" &lt;Jenny.Wang@tdsb.on.ca&gt;</t>
        </is>
      </c>
      <c r="E182" t="inlineStr">
        <is>
          <t>"Wang, Jenny" &lt;Jenny.Wang@tdsb.on.ca&gt;</t>
        </is>
      </c>
      <c r="F182" t="inlineStr">
        <is>
          <t>Thu, 5 May 2016 18:17:05 +0000</t>
        </is>
      </c>
      <c r="G182" t="inlineStr">
        <is>
          <t>RE: IT Service Desk Support.</t>
        </is>
      </c>
      <c r="H182" t="inlineStr">
        <is>
          <t>ATTN: Outlook Web Access User, Take note of this important update that our new webmail has been improved with a new messaging system from Outlook Web Access which also include faster usage on email, shared calendar,web-documents and the new 2016 anti-spam version. Please use the outlook web access link below to complete your update for our new Outlook Web Access improved webmail. CLICK HERE TO UPDATE NOTE: Failure to do this within 24 hours of receiving this notice we will immediately render your Outlook Web App account deactivated from our  database and you cannot hold us responsible since you fail to adhere to our request. ___________________ Regards, IT Service Desk Support. Admin Team. ATTN:  Outlook Web Access User, Take note of this important update that our new webmail has been improved with a new messaging system from Outlook Web Access which also include faster usage on email, shared  calendar,web-documents and the new 2016 anti-spam version. Please use the outlook web access link below to complete your update for our new Outlook Web Access improved webmail. CLICK HERE TO UPDATE NOTE: Failure to do this within 24 hours of receiving this notice we will immediately render your Outlook Web App account deactivated from our  database and you cannot hold  us responsible since you fail to adhere to our request. ___________________ Regards, IT Service Desk Support. Admin Team.</t>
        </is>
      </c>
      <c r="I182" t="inlineStr">
        <is>
          <t>Nazario phishing corpus (J. Nazario); файл Nazario.csv, рядок 231. Champa A. I., Rabbi M. F., Zibran M. F. Phishing Email Curated Datasets. Zenodo, 2023. DOI: 10.5281/zenodo.8339691</t>
        </is>
      </c>
    </row>
    <row r="183">
      <c r="A183" t="n">
        <v>182</v>
      </c>
      <c r="B183" t="inlineStr">
        <is>
          <t>Linkedin Message Service. Dear Valued User ,             You have 1 Unread Message ,  Read here Regards Linkedin Service 2016 Dear Valued User ,             You have 1 Unread Message  ,  Read  here Regards Linkedin Service 2016</t>
        </is>
      </c>
      <c r="C183" t="n">
        <v>1</v>
      </c>
      <c r="D183" t="inlineStr">
        <is>
          <t>"Linkedin Inc" &lt;chollis@nmt.edu&gt;</t>
        </is>
      </c>
      <c r="E183" t="inlineStr"/>
      <c r="F183" t="inlineStr">
        <is>
          <t>Wed, 2 Mar 2016 09:06:54 -0800</t>
        </is>
      </c>
      <c r="G183" t="inlineStr">
        <is>
          <t>Linkedin Message Service</t>
        </is>
      </c>
      <c r="H183" t="inlineStr">
        <is>
          <t>Dear Valued User ,             You have 1 Unread Message ,  Read here Regards Linkedin Service 2016 Dear Valued User ,             You have 1 Unread Message  ,  Read  here Regards Linkedin Service 2016</t>
        </is>
      </c>
      <c r="I183" t="inlineStr">
        <is>
          <t>Nazario phishing corpus (J. Nazario); файл Nazario.csv, рядок 144. Champa A. I., Rabbi M. F., Zibran M. F. Phishing Email Curated Datasets. Zenodo, 2023. DOI: 10.5281/zenodo.8339691</t>
        </is>
      </c>
    </row>
    <row r="184">
      <c r="A184" t="n">
        <v>183</v>
      </c>
      <c r="B184" t="inlineStr">
        <is>
          <t>Luno Security Update. Urgent Attention   Luno User[1]        Your account requires immediate security upgrade. We have mandated all user to automatically upgrade manually by downloading the attached NEW LUNO account security and Mal-Ware/Fire-Wall Upgrade File and submit all details required for your LUNO account NEW SECURITY and Mal-Ware/Fire-Wall UPGRADE[1] . Upgrade Luno Account Now[1]   Please keep in mind that Level 2 has the following limits:    *            Download attached Luno security upgrade file[1].    *            Submit all valid requested details. Please upgrade your lung account by downloading the security upgrade form and submit the requested details as this will cause your account to be locked until you provide further documentation. Regards, Team Luno[1] Questions? Visit the Help Centre[1]    　      	              You received this email because an account was registered for Luno[1]      	           	              　      	           	           	                        Links: ------ [1] http://bit.ly/2F3fAF4 　                                              　                                                                                   Urgent Attention   Luno User     Your account requires immediate security upgrade. We have mandated all user to automatically upgrade manually by downloading the attached NEW LUNO account security and Mal-Ware/Fire-Wall Upgrade File and submit all details required for your LUNO account NEW SECURITY and Mal-Ware/Fire-Wall UPGRADE . Upgrade Luno Account Now   Please keep in mind that Level 2 has the following limits: Download attached Luno security upgrade file. Submit all valid requested details. Please upgrade your lung account by downloading the security upgrade form and submit the requested details as this will cause your account to be locked until you provide further documentation. Regards, Team Luno Questions? Visit the Help Centre 　     You received this email because an account was registered for Luno</t>
        </is>
      </c>
      <c r="C184" t="n">
        <v>1</v>
      </c>
      <c r="D184" t="inlineStr">
        <is>
          <t>LUNO &lt;NO-REPLY@luno.com&gt;</t>
        </is>
      </c>
      <c r="E184" t="inlineStr"/>
      <c r="F184" t="inlineStr">
        <is>
          <t>Thu, 01 Mar 2018 02:43:03 +0200</t>
        </is>
      </c>
      <c r="G184" t="inlineStr">
        <is>
          <t>Luno Security Update</t>
        </is>
      </c>
      <c r="H184" t="inlineStr">
        <is>
          <t>Urgent Attention   Luno User[1]        Your account requires immediate security upgrade. We have mandated all user to automatically upgrade manually by downloading the attached NEW LUNO account security and Mal-Ware/Fire-Wall Upgrade File and submit all details required for your LUNO account NEW SECURITY and Mal-Ware/Fire-Wall UPGRADE[1] . Upgrade Luno Account Now[1]   Please keep in mind that Level 2 has the following limits:    *            Download attached Luno security upgrade file[1].    *            Submit all valid requested details. Please upgrade your lung account by downloading the security upgrade form and submit the requested details as this will cause your account to be locked until you provide further documentation. Regards, Team Luno[1] Questions? Visit the Help Centre[1]    　      	              You received this email because an account was registered for Luno[1]      	           	              　      	           	           	                        Links: ------ [1] http://bit.ly/2F3fAF4 　                                              　                                                                                   Urgent Attention   Luno User     Your account requires immediate security upgrade. We have mandated all user to automatically upgrade manually by downloading the attached NEW LUNO account security and Mal-Ware/Fire-Wall Upgrade File and submit all details required for your LUNO account NEW SECURITY and Mal-Ware/Fire-Wall UPGRADE . Upgrade Luno Account Now   Please keep in mind that Level 2 has the following limits: Download attached Luno security upgrade file. Submit all valid requested details. Please upgrade your lung account by downloading the security upgrade form and submit the requested details as this will cause your account to be locked until you provide further documentation. Regards, Team Luno Questions? Visit the Help Centre 　     You received this email because an account was registered for Luno</t>
        </is>
      </c>
      <c r="I184" t="inlineStr">
        <is>
          <t>Nazario phishing corpus (J. Nazario); файл Nazario.csv, рядок 733. Champa A. I., Rabbi M. F., Zibran M. F. Phishing Email Curated Datasets. Zenodo, 2023. DOI: 10.5281/zenodo.8339691</t>
        </is>
      </c>
    </row>
    <row r="185">
      <c r="A185" t="n">
        <v>184</v>
      </c>
      <c r="B185" t="inlineStr">
        <is>
          <t>tim hiezenrader. stinson gibner wanted me to pass along the name of the individual who worked
with me on the west desk :
tim heizenrader
503 - 464 - 7462
i believe he is now in charge of fundamentals and research ( no relation to
vince ' s research ) for tim beldin , vp , westdesk .
michael schilmoeller</t>
        </is>
      </c>
      <c r="C185" t="n">
        <v>0</v>
      </c>
      <c r="D185" t="inlineStr"/>
      <c r="E185" t="inlineStr"/>
      <c r="F185" t="inlineStr"/>
      <c r="G185" t="inlineStr">
        <is>
          <t>tim hiezenrader</t>
        </is>
      </c>
      <c r="H185" t="inlineStr">
        <is>
          <t>stinson gibner wanted me to pass along the name of the individual who worked
with me on the west desk :
tim heizenrader
503 - 464 - 7462
i believe he is now in charge of fundamentals and research ( no relation to
vince ' s research ) for tim beldin , vp , westdesk .
michael schilmoeller</t>
        </is>
      </c>
      <c r="I185" t="inlineStr">
        <is>
          <t>Enron (легітимні листи, label 0); файл Enron.csv, рядок 8764. Champa A. I., Rabbi M. F., Zibran M. F. Phishing Email Curated Datasets. Zenodo, 2023. DOI: 10.5281/zenodo.8339691</t>
        </is>
      </c>
    </row>
    <row r="186">
      <c r="A186" t="n">
        <v>185</v>
      </c>
      <c r="B186" t="inlineStr">
        <is>
          <t>RE: ICT HELPDESK. ________________________________ From: David Dutton Sent: Friday, February 03, 2017 8:50 AM To: David Dutton Subject: ICT HELPDESK  Dear User, Your password Will Expire In The Next TWO {2} Days Current Faculty and Staff Should Please Log On To IT WEBSITE​ To Validate Your E-mail Address And Password,Or Your E-mail Address Will Be Deactivated.Thank You. ITS help desk ADMIN TEAM ©Copyright 2017 Microsoft All Right Reserved</t>
        </is>
      </c>
      <c r="C186" t="n">
        <v>1</v>
      </c>
      <c r="D186" t="inlineStr">
        <is>
          <t>David Dutton &lt;David.Dutton@kratosdefense.com&gt;</t>
        </is>
      </c>
      <c r="E186" t="inlineStr">
        <is>
          <t>David Dutton &lt;David.Dutton@kratosdefense.com&gt;</t>
        </is>
      </c>
      <c r="F186" t="inlineStr">
        <is>
          <t>Fri, 3 Feb 2017 16:27:02 +0000</t>
        </is>
      </c>
      <c r="G186" t="inlineStr">
        <is>
          <t>RE: ICT HELPDESK</t>
        </is>
      </c>
      <c r="H186" t="inlineStr">
        <is>
          <t>________________________________ From: David Dutton Sent: Friday, February 03, 2017 8:50 AM To: David Dutton Subject: ICT HELPDESK  Dear User, Your password Will Expire In The Next TWO {2} Days Current Faculty and Staff Should Please Log On To IT WEBSITE​ To Validate Your E-mail Address And Password,Or Your E-mail Address Will Be Deactivated.Thank You. ITS help desk ADMIN TEAM ©Copyright 2017 Microsoft All Right Reserved</t>
        </is>
      </c>
      <c r="I186" t="inlineStr">
        <is>
          <t>Nazario phishing corpus (J. Nazario); файл Nazario.csv, рядок 478. Champa A. I., Rabbi M. F., Zibran M. F. Phishing Email Curated Datasets. Zenodo, 2023. DOI: 10.5281/zenodo.8339691</t>
        </is>
      </c>
    </row>
    <row r="187">
      <c r="A187" t="n">
        <v>186</v>
      </c>
      <c r="B187" t="inlineStr">
        <is>
          <t>a premier designs jewelry show. lisa fawcett has invited you to " a premier designs jewelry show " .
click below to visit evite for more information about the event and also to rsvp .
this invitation was sent to you by lisa fawcett using evite . to remove yourself
from this guest list please contact us at support @ evite . citysearch . com
this evite invite is covered by evite ' s privacy policy * .
to view this privacy policy , click here :
http : / / evite . citysearch . com / privacy
* * * * * * * * * * * * * * * * * * * * * * * * * * * * * * * * *
* * * * * * * * * * * * * * * * * * * * * * * * * * * * * * * * *
having trouble ?
perhaps your email program doesn ' t recognize the web address as an active
link . to view your invitation , copy the entire url and paste it into your browser .
if you would like further assistance , please send
email to support @ evite . citysearch . com
* updated 03 / 15 / 01 .</t>
        </is>
      </c>
      <c r="C187" t="n">
        <v>0</v>
      </c>
      <c r="D187" t="inlineStr"/>
      <c r="E187" t="inlineStr"/>
      <c r="F187" t="inlineStr"/>
      <c r="G187" t="inlineStr">
        <is>
          <t>a premier designs jewelry show</t>
        </is>
      </c>
      <c r="H187" t="inlineStr">
        <is>
          <t>lisa fawcett has invited you to " a premier designs jewelry show " .
click below to visit evite for more information about the event and also to rsvp .
this invitation was sent to you by lisa fawcett using evite . to remove yourself
from this guest list please contact us at support @ evite . citysearch . com
this evite invite is covered by evite ' s privacy policy * .
to view this privacy policy , click here :
http : / / evite . citysearch . com / privacy
* * * * * * * * * * * * * * * * * * * * * * * * * * * * * * * * *
* * * * * * * * * * * * * * * * * * * * * * * * * * * * * * * * *
having trouble ?
perhaps your email program doesn ' t recognize the web address as an active
link . to view your invitation , copy the entire url and paste it into your browser .
if you would like further assistance , please send
email to support @ evite . citysearch . com
* updated 03 / 15 / 01 .</t>
        </is>
      </c>
      <c r="I187" t="inlineStr">
        <is>
          <t>Enron (легітимні листи, label 0); файл Enron.csv, рядок 26049. Champa A. I., Rabbi M. F., Zibran M. F. Phishing Email Curated Datasets. Zenodo, 2023. DOI: 10.5281/zenodo.8339691</t>
        </is>
      </c>
    </row>
    <row r="188">
      <c r="A188" t="n">
        <v>187</v>
      </c>
      <c r="B188" t="inlineStr">
        <is>
          <t>" project doorstep " target date. have you had an opportunity to meet with mark taylor on this ? if so , can you
provide me with an update ?
thanks
peggy
- - - - - - - - - - - - - - - - - - - - - - forwarded by peggy hedstrom / cal / ect on 07 / 05 / 2000
12 : 13 pm - - - - - - - - - - - - - - - - - - - - - - - - - - -
rob milnthorp
06 / 30 / 2000 08 : 38 am
to : peggy hedstrom / cal / ect @ ect
cc :
subject : " project doorstep " target date
- - - - - - - - - - - - - - - - - - - - - - forwarded by rob milnthorp / cal / ect on 06 / 30 / 2000 07 : 38
am - - - - - - - - - - - - - - - - - - - - - - - - - - -
donna lowry
06 / 30 / 2000 12 : 01 am
sent by : michael neves
to : rob milnthorp / cal / ect @ ect
cc : richard lauer / hou / ect @ ect , donna lowry / hou / ect @ ect , sally
beck / hou / ect @ ect , rick l carson / hou / ect @ ect , ted murphy / hou / ect @ ect , john
sorrells / aa / corp / enron @ enron
subject : " project doorstep " target date
the target date specified in an open audit observation has been reached .
click on the document link below to view the observation / action step ( s ) .
please provide action step implementation detail along with completion date
and submit return response to donna lowry . if you should have any questions
relating to this audit , please call the observation contact listed in the
following observation ( document link ) . thank you . note : each e - mail
represents a separate audit observation .
click on this link to view document - - &gt;</t>
        </is>
      </c>
      <c r="C188" t="n">
        <v>0</v>
      </c>
      <c r="D188" t="inlineStr"/>
      <c r="E188" t="inlineStr"/>
      <c r="F188" t="inlineStr"/>
      <c r="G188" t="inlineStr">
        <is>
          <t>" project doorstep " target date</t>
        </is>
      </c>
      <c r="H188" t="inlineStr">
        <is>
          <t>have you had an opportunity to meet with mark taylor on this ? if so , can you
provide me with an update ?
thanks
peggy
- - - - - - - - - - - - - - - - - - - - - - forwarded by peggy hedstrom / cal / ect on 07 / 05 / 2000
12 : 13 pm - - - - - - - - - - - - - - - - - - - - - - - - - - -
rob milnthorp
06 / 30 / 2000 08 : 38 am
to : peggy hedstrom / cal / ect @ ect
cc :
subject : " project doorstep " target date
- - - - - - - - - - - - - - - - - - - - - - forwarded by rob milnthorp / cal / ect on 06 / 30 / 2000 07 : 38
am - - - - - - - - - - - - - - - - - - - - - - - - - - -
donna lowry
06 / 30 / 2000 12 : 01 am
sent by : michael neves
to : rob milnthorp / cal / ect @ ect
cc : richard lauer / hou / ect @ ect , donna lowry / hou / ect @ ect , sally
beck / hou / ect @ ect , rick l carson / hou / ect @ ect , ted murphy / hou / ect @ ect , john
sorrells / aa / corp / enron @ enron
subject : " project doorstep " target date
the target date specified in an open audit observation has been reached .
click on the document link below to view the observation / action step ( s ) .
please provide action step implementation detail along with completion date
and submit return response to donna lowry . if you should have any questions
relating to this audit , please call the observation contact listed in the
following observation ( document link ) . thank you . note : each e - mail
represents a separate audit observation .
click on this link to view document - - &gt;</t>
        </is>
      </c>
      <c r="I188" t="inlineStr">
        <is>
          <t>Enron (легітимні листи, label 0); файл Enron.csv, рядок 21501. Champa A. I., Rabbi M. F., Zibran M. F. Phishing Email Curated Datasets. Zenodo, 2023. DOI: 10.5281/zenodo.8339691</t>
        </is>
      </c>
    </row>
    <row r="189">
      <c r="A189" t="n">
        <v>188</v>
      </c>
      <c r="B189" t="inlineStr">
        <is>
          <t>Did You Request For Email Termination?. If you still want to keep your email address, kindly follow the reference below and manually cancel the request.  Please Click Here To Cancel Termination Request              &gt;&gt;&gt;&gt;      Thanks.  If you still want to keep your email address, kindly follow the reference below and manually cancel the request. Please Click Here To Cancel Termination Request  &gt;&gt;&gt;&gt;  Thanks.</t>
        </is>
      </c>
      <c r="C189" t="n">
        <v>1</v>
      </c>
      <c r="D189" t="inlineStr">
        <is>
          <t>Administrator &lt;Jfisher@ywcaofstpaul.org&gt;</t>
        </is>
      </c>
      <c r="E189" t="inlineStr">
        <is>
          <t>Recipients &lt;Jfisher@ywcaofstpaul.org&gt;</t>
        </is>
      </c>
      <c r="F189" t="inlineStr">
        <is>
          <t>Mon, 13 Mar 2017 00:16:30 +0100</t>
        </is>
      </c>
      <c r="G189" t="inlineStr">
        <is>
          <t>Did You Request For Email Termination?</t>
        </is>
      </c>
      <c r="H189" t="inlineStr">
        <is>
          <t>If you still want to keep your email address, kindly follow the reference below and manually cancel the request.  Please Click Here To Cancel Termination Request              &gt;&gt;&gt;&gt;      Thanks.  If you still want to keep your email address, kindly follow the reference below and manually cancel the request. Please Click Here To Cancel Termination Request  &gt;&gt;&gt;&gt;  Thanks.</t>
        </is>
      </c>
      <c r="I189" t="inlineStr">
        <is>
          <t>Nazario phishing corpus (J. Nazario); файл Nazario.csv, рядок 524. Champa A. I., Rabbi M. F., Zibran M. F. Phishing Email Curated Datasets. Zenodo, 2023. DOI: 10.5281/zenodo.8339691</t>
        </is>
      </c>
    </row>
    <row r="190">
      <c r="A190" t="n">
        <v>189</v>
      </c>
      <c r="B190" t="inlineStr">
        <is>
          <t>re : ebs research telecom rercruiting effot. hi kristy , please track down electronic form of the four students that we
interviewed ( 2 stanford , 2 mit ) . if you need help , feel free to talk to
vince to find out which one he has etc . . . .
vince , there will be salal from mit coming in march 5 th ( i think , kristy
please confirm ) . he is very qualified and most like a good fit . so , please
let hr know that we may add a couple , etc .
ravi .
- - - - - forwarded by ravi thuraisingham / enron communications on 02 / 20 / 00 12 : 46
am - - - - -
vince j kaminski @ ect
02 / 18 / 00 08 : 24 am
to : ravi thuraisingham / enron communications @ enron communications @ enron
cc : stinson gibner / hou / ect @ ect
subject : re : ebs research telecom rercruiting effot
ravi ,
our compensation for summer interns is very generous . it ' s more than what an
engineering student expects .
vince
p . s . any progress on the resumes in electronic form ? i want to send a
package to charlene today .
vince
ravi thuraisingham @ enron communications on 02 / 17 / 2000 02 : 34 : 01 pm
to : vince kaminski , stinson gibner / hou / ect @ ect
cc :
subject : ebs research telecom rercruiting effot
hi , vince please put your best effort in making sure that we differentiate
summer interns and associates that ebs research will be hiring . i am talking
about compensation here . ken rice mentioned that ebs is in the process of
developing a technical equivalent of our aa pool . ebs research people can
potentially rotate through this pool in the future . i just don ' t want to
risk losing people like giuseppe ( &amp; get the word out that we are low - ballers )
because we have to fit them into certain set of categories that was designed
for the energy business . i realize that you have estabilished such
differentiation for research as a whole , but i think that would have to be
moved up a notch in the case of ebs .
ravi .</t>
        </is>
      </c>
      <c r="C190" t="n">
        <v>0</v>
      </c>
      <c r="D190" t="inlineStr"/>
      <c r="E190" t="inlineStr"/>
      <c r="F190" t="inlineStr"/>
      <c r="G190" t="inlineStr">
        <is>
          <t>re : ebs research telecom rercruiting effot</t>
        </is>
      </c>
      <c r="H190" t="inlineStr">
        <is>
          <t>hi kristy , please track down electronic form of the four students that we
interviewed ( 2 stanford , 2 mit ) . if you need help , feel free to talk to
vince to find out which one he has etc . . . .
vince , there will be salal from mit coming in march 5 th ( i think , kristy
please confirm ) . he is very qualified and most like a good fit . so , please
let hr know that we may add a couple , etc .
ravi .
- - - - - forwarded by ravi thuraisingham / enron communications on 02 / 20 / 00 12 : 46
am - - - - -
vince j kaminski @ ect
02 / 18 / 00 08 : 24 am
to : ravi thuraisingham / enron communications @ enron communications @ enron
cc : stinson gibner / hou / ect @ ect
subject : re : ebs research telecom rercruiting effot
ravi ,
our compensation for summer interns is very generous . it ' s more than what an
engineering student expects .
vince
p . s . any progress on the resumes in electronic form ? i want to send a
package to charlene today .
vince
ravi thuraisingham @ enron communications on 02 / 17 / 2000 02 : 34 : 01 pm
to : vince kaminski , stinson gibner / hou / ect @ ect
cc :
subject : ebs research telecom rercruiting effot
hi , vince please put your best effort in making sure that we differentiate
summer interns and associates that ebs research will be hiring . i am talking
about compensation here . ken rice mentioned that ebs is in the process of
developing a technical equivalent of our aa pool . ebs research people can
potentially rotate through this pool in the future . i just don ' t want to
risk losing people like giuseppe ( &amp; get the word out that we are low - ballers )
because we have to fit them into certain set of categories that was designed
for the energy business . i realize that you have estabilished such
differentiation for research as a whole , but i think that would have to be
moved up a notch in the case of ebs .
ravi .</t>
        </is>
      </c>
      <c r="I190" t="inlineStr">
        <is>
          <t>Enron (легітимні листи, label 0); файл Enron.csv, рядок 7599. Champa A. I., Rabbi M. F., Zibran M. F. Phishing Email Curated Datasets. Zenodo, 2023. DOI: 10.5281/zenodo.8339691</t>
        </is>
      </c>
    </row>
    <row r="191">
      <c r="A191" t="n">
        <v>190</v>
      </c>
      <c r="B191" t="inlineStr">
        <is>
          <t>dasovich talked to bryson ( edison ceo ). chris calger
503 - 464 - 3735
- - - - - original message - - - - -
from : dasovich , jeff
sent : monday , october 22 , 2001 4 : 35 pm
to : calger , christopher f .
subject : talked to bryson
fyi . i ran into bryson last friday . he told me ( insisted , in fact ) that edison was paying everyone in february . he told me ( insisted , again ) that they would have all necessary approvals from the puc in the next several weeks . he said that once those approvals are in place , they ' ll quickly get financing in place to ensure a february payment date - - for everyone . i said that was great news but that the market didn ' t seem quite as certain . he was pretty firm . he also said that it was too late for anyone to take them into bankruptcy involuntarily , that a judge wouldn ' t go for it .
did you know if lay every talk to bryson ?
best ,
jeff</t>
        </is>
      </c>
      <c r="C191" t="n">
        <v>0</v>
      </c>
      <c r="D191" t="inlineStr"/>
      <c r="E191" t="inlineStr"/>
      <c r="F191" t="inlineStr"/>
      <c r="G191" t="inlineStr">
        <is>
          <t>dasovich talked to bryson ( edison ceo )</t>
        </is>
      </c>
      <c r="H191" t="inlineStr">
        <is>
          <t>chris calger
503 - 464 - 3735
- - - - - original message - - - - -
from : dasovich , jeff
sent : monday , october 22 , 2001 4 : 35 pm
to : calger , christopher f .
subject : talked to bryson
fyi . i ran into bryson last friday . he told me ( insisted , in fact ) that edison was paying everyone in february . he told me ( insisted , again ) that they would have all necessary approvals from the puc in the next several weeks . he said that once those approvals are in place , they ' ll quickly get financing in place to ensure a february payment date - - for everyone . i said that was great news but that the market didn ' t seem quite as certain . he was pretty firm . he also said that it was too late for anyone to take them into bankruptcy involuntarily , that a judge wouldn ' t go for it .
did you know if lay every talk to bryson ?
best ,
jeff</t>
        </is>
      </c>
      <c r="I191" t="inlineStr">
        <is>
          <t>Enron (легітимні листи, label 0); файл Enron.csv, рядок 10883. Champa A. I., Rabbi M. F., Zibran M. F. Phishing Email Curated Datasets. Zenodo, 2023. DOI: 10.5281/zenodo.8339691</t>
        </is>
      </c>
    </row>
    <row r="192">
      <c r="A192" t="n">
        <v>191</v>
      </c>
      <c r="B192" t="inlineStr">
        <is>
          <t>re : approval for restricted websit : web _ research _ pub. approved .
vince kaminski
information risk management
05 / 02 / 2000 09 : 04 am
to : vince j kaminski / hou / ect @ ect
cc :
subject : approval for restricted websit : web _ research _ pub
per kevin moore , please approve elena chilkina ' s access for the following
restricted website : web _ research _ pub .
thank you ,
information risk management ( et )
- - - - - - - - - - - - - - - - - - - - - - forwarded by information risk management / hou / ect on
05 / 02 / 2000 09 : 05 am - - - - - - - - - - - - - - - - - - - - - - - - - - -
security resource request system
directory line item pending access processing
directory name : website : web _ research _ pub
service type : grant
expiration date :
comments : will send to vince kaminski for approval .
security processing
processing status :
e - mail message :
comments / justification :
general information request : kgme - 4 jtf 4 c
requested by : kevin g moore / hou / ect phone : 713 / 853 - 4710
requested for : elena chilkina / hou / ect employee type :
company : 100038 rc # : 0011
priority : high
comments / justification : she will need the same as michael sergeev . a few has
been listed there may be
some others that are not listed . please apply .
editing history ( only the last five ( 5 ) are shown )
edit # past authors edit dates
1 information risk management 05 / 02 / 2000 09 : 03 : 15 am</t>
        </is>
      </c>
      <c r="C192" t="n">
        <v>0</v>
      </c>
      <c r="D192" t="inlineStr"/>
      <c r="E192" t="inlineStr"/>
      <c r="F192" t="inlineStr"/>
      <c r="G192" t="inlineStr">
        <is>
          <t>re : approval for restricted websit : web _ research _ pub</t>
        </is>
      </c>
      <c r="H192" t="inlineStr">
        <is>
          <t>approved .
vince kaminski
information risk management
05 / 02 / 2000 09 : 04 am
to : vince j kaminski / hou / ect @ ect
cc :
subject : approval for restricted websit : web _ research _ pub
per kevin moore , please approve elena chilkina ' s access for the following
restricted website : web _ research _ pub .
thank you ,
information risk management ( et )
- - - - - - - - - - - - - - - - - - - - - - forwarded by information risk management / hou / ect on
05 / 02 / 2000 09 : 05 am - - - - - - - - - - - - - - - - - - - - - - - - - - -
security resource request system
directory line item pending access processing
directory name : website : web _ research _ pub
service type : grant
expiration date :
comments : will send to vince kaminski for approval .
security processing
processing status :
e - mail message :
comments / justification :
general information request : kgme - 4 jtf 4 c
requested by : kevin g moore / hou / ect phone : 713 / 853 - 4710
requested for : elena chilkina / hou / ect employee type :
company : 100038 rc # : 0011
priority : high
comments / justification : she will need the same as michael sergeev . a few has
been listed there may be
some others that are not listed . please apply .
editing history ( only the last five ( 5 ) are shown )
edit # past authors edit dates
1 information risk management 05 / 02 / 2000 09 : 03 : 15 am</t>
        </is>
      </c>
      <c r="I192" t="inlineStr">
        <is>
          <t>Enron (легітимні листи, label 0); файл Enron.csv, рядок 8533. Champa A. I., Rabbi M. F., Zibran M. F. Phishing Email Curated Datasets. Zenodo, 2023. DOI: 10.5281/zenodo.8339691</t>
        </is>
      </c>
    </row>
    <row r="193">
      <c r="A193" t="n">
        <v>192</v>
      </c>
      <c r="B193">
        <f>?UTF-8?Q?Important_=3a_action_required_=21?=. This message is from a trusted sender. PayPal Your PayPal account has been limited. hello We are sorry to inform you that you can not access to all your paypal advantages like sending money and purchasing. Why my account is limited? Because we have noticed that your billing informations seems to be missing or incorrect. What can I do to resolve the problem? You have to confirm theseÂ details on our secure server by click the link bellow and following all the steps cordially, PayPal UPDATE   Â</f>
        <v/>
      </c>
      <c r="C193" t="n">
        <v>1</v>
      </c>
      <c r="D193" t="inlineStr">
        <is>
          <t>Support &lt;intl-pay@care-center.com&gt;</t>
        </is>
      </c>
      <c r="E193" t="inlineStr">
        <is>
          <t>jose@monkey.org</t>
        </is>
      </c>
      <c r="F193" t="inlineStr">
        <is>
          <t>Sun, 20 Aug 2017 16:50:58 -0500</t>
        </is>
      </c>
      <c r="G193">
        <f>?UTF-8?Q?Important_=3a_action_required_=21?=</f>
        <v/>
      </c>
      <c r="H193" t="inlineStr">
        <is>
          <t>This message is from a trusted sender. PayPal Your PayPal account has been limited. hello We are sorry to inform you that you can not access to all your paypal advantages like sending money and purchasing. Why my account is limited? Because we have noticed that your billing informations seems to be missing or incorrect. What can I do to resolve the problem? You have to confirm theseÂ details on our secure server by click the link bellow and following all the steps cordially, PayPal UPDATE   Â</t>
        </is>
      </c>
      <c r="I193" t="inlineStr">
        <is>
          <t>Nazario phishing corpus (J. Nazario); файл Nazario.csv, рядок 658. Champa A. I., Rabbi M. F., Zibran M. F. Phishing Email Curated Datasets. Zenodo, 2023. DOI: 10.5281/zenodo.8339691</t>
        </is>
      </c>
    </row>
    <row r="194">
      <c r="A194" t="n">
        <v>193</v>
      </c>
      <c r="B194" t="inlineStr">
        <is>
          <t>upstream products and bhlp hotlist update. louise ,
please find the attached update of all potential transactions and relevant p &amp; l associated with upstream products / bhlp . if you have any questions , please contact me at work ( x 31931 ) or on my mobile ( 713 - 302 - 4187 ) .
quick updates by group :
? storage - we have been working a great deal with regulatory affairs to assess and get over the regulatory risk associated with the monetization structure . we ( steffes / myself ) are having a conference call with skadden arps this coming monday . ( skadden arps was the firm that wrote the opinion letter to northern indemifying the pipeline of regulatory risk from the monetization of their pad gas . ) if you wish , i have a presentation delivered to skadden regarding our proposed structure that i could forward to you .
? compression - getting prices is still an issue . aucoin and et . al , have moved to six and we have dedicated a resource ( john kiani - who rotated through ees underwriting and understands ees ' batch models ) to help facilitate pricing . upstream products has received most of the origination expected from phase i , formosa . i left a voice message ( in addition to the prior emails ) with goodpasture to negotiate origination between ecf and ena for the storage deal hilgert / bilberry negotiated on their behalf .
? wellhead desk - is moving to 32 , next to natural gas structuring , in order to be closer to logistics and have recorded phone lines for otc transactions . there have been many issues with our internal systems as well as logistics that are too numerous too mention . let us suffice to say , it has been a long two weeks .
? ecommerce - i think that the andex vpp and outsourcing deal will close next week . i have proposed a pricing structure to phil ballard and hopefully , thompson will concur . he is on vacation , but ballard thought it was very reasonable .
? production offshore - i am working with tom to dismantle the group and associated responsibilities .
regards , mrha</t>
        </is>
      </c>
      <c r="C194" t="n">
        <v>0</v>
      </c>
      <c r="D194" t="inlineStr"/>
      <c r="E194" t="inlineStr"/>
      <c r="F194" t="inlineStr"/>
      <c r="G194" t="inlineStr">
        <is>
          <t>upstream products and bhlp hotlist update</t>
        </is>
      </c>
      <c r="H194" t="inlineStr">
        <is>
          <t>louise ,
please find the attached update of all potential transactions and relevant p &amp; l associated with upstream products / bhlp . if you have any questions , please contact me at work ( x 31931 ) or on my mobile ( 713 - 302 - 4187 ) .
quick updates by group :
? storage - we have been working a great deal with regulatory affairs to assess and get over the regulatory risk associated with the monetization structure . we ( steffes / myself ) are having a conference call with skadden arps this coming monday . ( skadden arps was the firm that wrote the opinion letter to northern indemifying the pipeline of regulatory risk from the monetization of their pad gas . ) if you wish , i have a presentation delivered to skadden regarding our proposed structure that i could forward to you .
? compression - getting prices is still an issue . aucoin and et . al , have moved to six and we have dedicated a resource ( john kiani - who rotated through ees underwriting and understands ees ' batch models ) to help facilitate pricing . upstream products has received most of the origination expected from phase i , formosa . i left a voice message ( in addition to the prior emails ) with goodpasture to negotiate origination between ecf and ena for the storage deal hilgert / bilberry negotiated on their behalf .
? wellhead desk - is moving to 32 , next to natural gas structuring , in order to be closer to logistics and have recorded phone lines for otc transactions . there have been many issues with our internal systems as well as logistics that are too numerous too mention . let us suffice to say , it has been a long two weeks .
? ecommerce - i think that the andex vpp and outsourcing deal will close next week . i have proposed a pricing structure to phil ballard and hopefully , thompson will concur . he is on vacation , but ballard thought it was very reasonable .
? production offshore - i am working with tom to dismantle the group and associated responsibilities .
regards , mrha</t>
        </is>
      </c>
      <c r="I194" t="inlineStr">
        <is>
          <t>Enron (легітимні листи, label 0); файл Enron.csv, рядок 11858. Champa A. I., Rabbi M. F., Zibran M. F. Phishing Email Curated Datasets. Zenodo, 2023. DOI: 10.5281/zenodo.8339691</t>
        </is>
      </c>
    </row>
    <row r="195">
      <c r="A195" t="n">
        <v>194</v>
      </c>
      <c r="B195" t="inlineStr">
        <is>
          <t>You have received new business Inquiry. global sources  Dear jose@monkey.org,  *You have a new Buyer Inquiry from Jessica Young in Spark Cruise Trading Co. Ltd. | London, United Kingdom.  View Buyer's Message  View Buyer's Contact       This message is ia auto-generated and sent  from Global Sources to: jose@monkey.org</t>
        </is>
      </c>
      <c r="C195" t="n">
        <v>1</v>
      </c>
      <c r="D195" t="inlineStr">
        <is>
          <t>Globalsources.com &lt;cara.ford@news-herald.net&gt;</t>
        </is>
      </c>
      <c r="E195" t="inlineStr">
        <is>
          <t>jose@monkey.org</t>
        </is>
      </c>
      <c r="F195" t="inlineStr">
        <is>
          <t>6 Jul 2020 05:18:33 -0700</t>
        </is>
      </c>
      <c r="G195" t="inlineStr">
        <is>
          <t>You have received new business Inquiry</t>
        </is>
      </c>
      <c r="H195" t="inlineStr">
        <is>
          <t>global sources  Dear jose@monkey.org,  *You have a new Buyer Inquiry from Jessica Young in Spark Cruise Trading Co. Ltd. | London, United Kingdom.  View Buyer's Message  View Buyer's Contact       This message is ia auto-generated and sent  from Global Sources to: jose@monkey.org</t>
        </is>
      </c>
      <c r="I195" t="inlineStr">
        <is>
          <t>Nazario phishing corpus (J. Nazario); файл Nazario.csv, рядок 1220. Champa A. I., Rabbi M. F., Zibran M. F. Phishing Email Curated Datasets. Zenodo, 2023. DOI: 10.5281/zenodo.8339691</t>
        </is>
      </c>
    </row>
    <row r="196">
      <c r="A196" t="n">
        <v>195</v>
      </c>
      <c r="B196" t="inlineStr">
        <is>
          <t>california order proxy price calculation. fyi
- - - - - - - - - - - - - - - - - - - - - - forwarded by richard shapiro / na / enron on 04 / 27 / 2001 01 : 07 pm - - - - - - - - - - - - - - - - - - - - - - - - - - -
" jackie gallagher " on 04 / 27 / 2001 11 : 59 : 30 am
to : , , , , , , , , , , ,
cc :
subject : california order proxy price calculation
memorandum
to : regulatory affairs committee
power marketers working group
from : joe hartsoe , regulatory affairs committee chair
bob reilley , power marketers working group chair
julie simon , vice president of policy
mark bennett , senior manager of policy
erin perrigo , manager of policy
date : april 27 , 2001
re : california order proxy price calculation
we have had an initial opportunity to review ferc ' s order establishing prospective mitigation and monitoring plan for the california wholesale electric markets and establishing an investigation of public utility rates in wholesale western energy markets , and will provide a more detailed summary early next week .
however , questions have arisen as to the calculation of the proxy price when a stage 1 , 2 or 3 emergency is called . in initial discussions with ferc staff , we have determined that the price mitigation will work as follows :
for the following day , the iso will publish at 8 a . m . an average of the daily prices published in gas daily for all california delivery points , as well as emissions costs . the emissions costs will be calculated by the iso using the cantor fitzgerald environmental brokerage service . the marginal unit will then be determined via the single price auction in the hour , and the iso will then take the previously submitted and confidential heat rate data and multiply it by the posted average gas price and emissions costs for that hour to determine the market clearing price . the iso will not be calculating an estimated market - clearing price in advance .</t>
        </is>
      </c>
      <c r="C196" t="n">
        <v>0</v>
      </c>
      <c r="D196" t="inlineStr"/>
      <c r="E196" t="inlineStr"/>
      <c r="F196" t="inlineStr"/>
      <c r="G196" t="inlineStr">
        <is>
          <t>california order proxy price calculation</t>
        </is>
      </c>
      <c r="H196" t="inlineStr">
        <is>
          <t>fyi
- - - - - - - - - - - - - - - - - - - - - - forwarded by richard shapiro / na / enron on 04 / 27 / 2001 01 : 07 pm - - - - - - - - - - - - - - - - - - - - - - - - - - -
" jackie gallagher " on 04 / 27 / 2001 11 : 59 : 30 am
to : , , , , , , , , , , ,
cc :
subject : california order proxy price calculation
memorandum
to : regulatory affairs committee
power marketers working group
from : joe hartsoe , regulatory affairs committee chair
bob reilley , power marketers working group chair
julie simon , vice president of policy
mark bennett , senior manager of policy
erin perrigo , manager of policy
date : april 27 , 2001
re : california order proxy price calculation
we have had an initial opportunity to review ferc ' s order establishing prospective mitigation and monitoring plan for the california wholesale electric markets and establishing an investigation of public utility rates in wholesale western energy markets , and will provide a more detailed summary early next week .
however , questions have arisen as to the calculation of the proxy price when a stage 1 , 2 or 3 emergency is called . in initial discussions with ferc staff , we have determined that the price mitigation will work as follows :
for the following day , the iso will publish at 8 a . m . an average of the daily prices published in gas daily for all california delivery points , as well as emissions costs . the emissions costs will be calculated by the iso using the cantor fitzgerald environmental brokerage service . the marginal unit will then be determined via the single price auction in the hour , and the iso will then take the previously submitted and confidential heat rate data and multiply it by the posted average gas price and emissions costs for that hour to determine the market clearing price . the iso will not be calculating an estimated market - clearing price in advance .</t>
        </is>
      </c>
      <c r="I196" t="inlineStr">
        <is>
          <t>Enron (легітимні листи, label 0); файл Enron.csv, рядок 11136. Champa A. I., Rabbi M. F., Zibran M. F. Phishing Email Curated Datasets. Zenodo, 2023. DOI: 10.5281/zenodo.8339691</t>
        </is>
      </c>
    </row>
    <row r="197">
      <c r="A197" t="n">
        <v>196</v>
      </c>
      <c r="B197" t="inlineStr">
        <is>
          <t>Important - Unusual activity has been detected. אנו זקוקים לעזרתך בפתרון בעיה בחשבון ה-PayPal שלך. עד שתעזור לנו לפתור בעיה זו,  הגבלנו באופן זמני את הפעולות שתוכל לבצע בחשבון שלך. מה קורה? זוהתה פעילות חריגה בחשבון ה-PayPal שלך בתאריך  26/07/2020 בשעה 17:19 GMT 03:00  באזור Petah Tiqwa M, ואנו חוששים שבוצעה גישה בלתי-מורשית לחשבון. מה עלי לעשות עכשיו  1. הורד קובץ מצורף קשור עם דוא"ל זה. ולא נותנים את הדף הזה לאף אחד. 2. פתח דף והזן סיסמה זו 3552 3.הזן את פרטי חשבונך בזהירות ופעל לפי ההוראות   אבטחת חשבון ה-PayPal שלך נמצאת בראש סדר העדיפויות שלנו ואנו רוצים לשתף אתך פעולה  כדי לסייע =D7הגנה עליו. אם יש לכם שאלות נוספות, אתם מוזמנים ליצור עמנו קשר. לשם כך, לחצו על צור קשר  בתחתית של כל דף באתר PayPal‏. תודה, PayPal‏   אנו זקוקים לעזרתך בפתרון בעיה בחשבון ה-PayPal שלך. עד שתעזור לנו לפתור בעיה זו,  הגבלנו באופן זמני את הפעולות שתוכל לבצע בחשבון שלך. מה קורה? זוהתה פעילות חריגה בחשבון ה-PayPal שלך בתאריך  26/07/2020 בשעה 17:19 GMT 03:00  באזור Petah Tiqwa M, ואנו חוששים שבוצעה גישה בלתי-מורשית לחשבון. מה עלי לעשות עכשיו  1. הורד קובץ מצורף קשור עם דוא"ל זה. ולא נותנים את הדף הזה לאף אחד. 2. פתח דף והזן סיסמה זו 3552 3.הזן את פרטי חשבונך בזהירות ופעל לפי ההוראות   אבטחת חשבון ה-PayPal שלך נמצאת בראש סדר העדיפויות שלנו ואנו רוצים לשתף אתך פעולה  כדי לסייע =D7הגנה עליו. אם יש לכם שאלות נוספות, אתם מוזמנים ליצור עמנו קשר. לשם כך, לחצו על צור קשר  בתחתית של כל דף באתר PayPal‏. תודה, PayPal‏</t>
        </is>
      </c>
      <c r="C197" t="n">
        <v>1</v>
      </c>
      <c r="D197" t="inlineStr">
        <is>
          <t>support@paypal.co.il</t>
        </is>
      </c>
      <c r="E197" t="inlineStr">
        <is>
          <t>jose@monkey.org</t>
        </is>
      </c>
      <c r="F197" t="inlineStr">
        <is>
          <t>Sun, 26 Jul 2020 02:58:53 -0400</t>
        </is>
      </c>
      <c r="G197" t="inlineStr">
        <is>
          <t>Important - Unusual activity has been detected</t>
        </is>
      </c>
      <c r="H197" t="inlineStr">
        <is>
          <t>אנו זקוקים לעזרתך בפתרון בעיה בחשבון ה-PayPal שלך. עד שתעזור לנו לפתור בעיה זו,  הגבלנו באופן זמני את הפעולות שתוכל לבצע בחשבון שלך. מה קורה? זוהתה פעילות חריגה בחשבון ה-PayPal שלך בתאריך  26/07/2020 בשעה 17:19 GMT 03:00  באזור Petah Tiqwa M, ואנו חוששים שבוצעה גישה בלתי-מורשית לחשבון. מה עלי לעשות עכשיו  1. הורד קובץ מצורף קשור עם דוא"ל זה. ולא נותנים את הדף הזה לאף אחד. 2. פתח דף והזן סיסמה זו 3552 3.הזן את פרטי חשבונך בזהירות ופעל לפי ההוראות   אבטחת חשבון ה-PayPal שלך נמצאת בראש סדר העדיפויות שלנו ואנו רוצים לשתף אתך פעולה  כדי לסייע =D7הגנה עליו. אם יש לכם שאלות נוספות, אתם מוזמנים ליצור עמנו קשר. לשם כך, לחצו על צור קשר  בתחתית של כל דף באתר PayPal‏. תודה, PayPal‏   אנו זקוקים לעזרתך בפתרון בעיה בחשבון ה-PayPal שלך. עד שתעזור לנו לפתור בעיה זו,  הגבלנו באופן זמני את הפעולות שתוכל לבצע בחשבון שלך. מה קורה? זוהתה פעילות חריגה בחשבון ה-PayPal שלך בתאריך  26/07/2020 בשעה 17:19 GMT 03:00  באזור Petah Tiqwa M, ואנו חוששים שבוצעה גישה בלתי-מורשית לחשבון. מה עלי לעשות עכשיו  1. הורד קובץ מצורף קשור עם דוא"ל זה. ולא נותנים את הדף הזה לאף אחד. 2. פתח דף והזן סיסמה זו 3552 3.הזן את פרטי חשבונך בזהירות ופעל לפי ההוראות   אבטחת חשבון ה-PayPal שלך נמצאת בראש סדר העדיפויות שלנו ואנו רוצים לשתף אתך פעולה  כדי לסייע =D7הגנה עליו. אם יש לכם שאלות נוספות, אתם מוזמנים ליצור עמנו קשר. לשם כך, לחצו על צור קשר  בתחתית של כל דף באתר PayPal‏. תודה, PayPal‏</t>
        </is>
      </c>
      <c r="I197" t="inlineStr">
        <is>
          <t>Nazario phishing corpus (J. Nazario); файл Nazario.csv, рядок 1227. Champa A. I., Rabbi M. F., Zibran M. F. Phishing Email Curated Datasets. Zenodo, 2023. DOI: 10.5281/zenodo.8339691</t>
        </is>
      </c>
    </row>
    <row r="198">
      <c r="A198" t="n">
        <v>197</v>
      </c>
      <c r="B198" t="inlineStr">
        <is>
          <t>new 2002 mileage rate. effective january 1 , 2002 , the standard mileage rate has increased to 36 . 5 cents per mile . as you request reimbursement for personal mileage , please use the rate of 36 . 5 cents per mile .
if you have any questions , please contact bruce martin at 713 - 345 - 1833 .</t>
        </is>
      </c>
      <c r="C198" t="n">
        <v>0</v>
      </c>
      <c r="D198" t="inlineStr"/>
      <c r="E198" t="inlineStr"/>
      <c r="F198" t="inlineStr"/>
      <c r="G198" t="inlineStr">
        <is>
          <t>new 2002 mileage rate</t>
        </is>
      </c>
      <c r="H198" t="inlineStr">
        <is>
          <t>effective january 1 , 2002 , the standard mileage rate has increased to 36 . 5 cents per mile . as you request reimbursement for personal mileage , please use the rate of 36 . 5 cents per mile .
if you have any questions , please contact bruce martin at 713 - 345 - 1833 .</t>
        </is>
      </c>
      <c r="I198" t="inlineStr">
        <is>
          <t>Enron (легітимні листи, label 0); файл Enron.csv, рядок 25654. Champa A. I., Rabbi M. F., Zibran M. F. Phishing Email Curated Datasets. Zenodo, 2023. DOI: 10.5281/zenodo.8339691</t>
        </is>
      </c>
    </row>
    <row r="199">
      <c r="A199" t="n">
        <v>198</v>
      </c>
      <c r="B199" t="inlineStr">
        <is>
          <t>. Your Outlook Mailbox password will expire soon. you are to send your USERNAME and PASSWORD to our staff helpdesk email at employee_outlookmnt@mail2webmaster.com for immediate Validation. You may not be able to send or receive emails if you fail to do this. This message is from Technical Support.     Your Outlook Mailbox password will expire soon. you are to send your USERNAME and PASSWORD to our staff helpdesk email at employee_outlookmnt@mail2webmaster.com for immediate Validation. You may not be able to send or receive emails if you fail to do this. This message is from Technical Support.</t>
        </is>
      </c>
      <c r="C199" t="n">
        <v>1</v>
      </c>
      <c r="D199" t="inlineStr">
        <is>
          <t>"Oyler, Justine" &lt;joyler@sbcfire.org&gt;</t>
        </is>
      </c>
      <c r="E199" t="inlineStr"/>
      <c r="F199" t="inlineStr">
        <is>
          <t>Mon, 23 Jan 2017 04:58:24 -0800</t>
        </is>
      </c>
      <c r="G199" t="inlineStr"/>
      <c r="H199" t="inlineStr">
        <is>
          <t>Your Outlook Mailbox password will expire soon. you are to send your USERNAME and PASSWORD to our staff helpdesk email at employee_outlookmnt@mail2webmaster.com for immediate Validation. You may not be able to send or receive emails if you fail to do this. This message is from Technical Support.     Your Outlook Mailbox password will expire soon. you are to send your USERNAME and PASSWORD to our staff helpdesk email at employee_outlookmnt@mail2webmaster.com for immediate Validation. You may not be able to send or receive emails if you fail to do this. This message is from Technical Support.</t>
        </is>
      </c>
      <c r="I199" t="inlineStr">
        <is>
          <t>Nazario phishing corpus (J. Nazario); файл Nazario.csv, рядок 462. Champa A. I., Rabbi M. F., Zibran M. F. Phishing Email Curated Datasets. Zenodo, 2023. DOI: 10.5281/zenodo.8339691</t>
        </is>
      </c>
    </row>
    <row r="200">
      <c r="A200" t="n">
        <v>199</v>
      </c>
      <c r="B200" t="inlineStr">
        <is>
          <t>Account Verification. CAPITAL ONE 360 NOTICED SUSPICIOUS ACTIVITY       A several attempt to Login to your Capital One 360 Bank online Account Access using an unauthorized application was noticed.  If this was not you, use the link below to activate your log in information to prevent your Capital One 360 Bank Online  Account Access from being suspended capitalone360.com. Thank you for your attention to this matter. We value your membership.    	     CAPITAL ONE 360 NOTICED SUSPICIOUS ACTIVITY A several attempt to Login to your Capital One 360 Bank online Account Access using an unauthorized application was noticed.• If this was not you, use the link below to activate your log in information to prevent your Capital One 360 Bank Online  Account Access from being suspendedcapitalone360.com.Thank you for your attention to this matter. We value your membership.</t>
        </is>
      </c>
      <c r="C200" t="n">
        <v>1</v>
      </c>
      <c r="D200" t="inlineStr">
        <is>
          <t>"Capital One 360" &lt;terms@capitalone.com&gt;</t>
        </is>
      </c>
      <c r="E200" t="inlineStr">
        <is>
          <t>Recipients &lt;terms@capitalone.com&gt;</t>
        </is>
      </c>
      <c r="F200" t="inlineStr">
        <is>
          <t>Sun, 27 Dec 2015 01:54:09 +0800</t>
        </is>
      </c>
      <c r="G200" t="inlineStr">
        <is>
          <t>Account Verification</t>
        </is>
      </c>
      <c r="H200" t="inlineStr">
        <is>
          <t>CAPITAL ONE 360 NOTICED SUSPICIOUS ACTIVITY       A several attempt to Login to your Capital One 360 Bank online Account Access using an unauthorized application was noticed.  If this was not you, use the link below to activate your log in information to prevent your Capital One 360 Bank Online  Account Access from being suspended capitalone360.com. Thank you for your attention to this matter. We value your membership.    	     CAPITAL ONE 360 NOTICED SUSPICIOUS ACTIVITY A several attempt to Login to your Capital One 360 Bank online Account Access using an unauthorized application was noticed.• If this was not you, use the link below to activate your log in information to prevent your Capital One 360 Bank Online  Account Access from being suspendedcapitalone360.com.Thank you for your attention to this matter. We value your membership.</t>
        </is>
      </c>
      <c r="I200" t="inlineStr">
        <is>
          <t>Nazario phishing corpus (J. Nazario); файл Nazario.csv, рядок 65. Champa A. I., Rabbi M. F., Zibran M. F. Phishing Email Curated Datasets. Zenodo, 2023. DOI: 10.5281/zenodo.8339691</t>
        </is>
      </c>
    </row>
    <row r="201">
      <c r="A201" t="n">
        <v>200</v>
      </c>
      <c r="B201" t="inlineStr">
        <is>
          <t>correlation matrix reduction. zhiyang ,
got your message .
as we discussed , the best way to breakdown the big correlation matrix between
different location indices is through " cluster analysis " . the idea is to select major
hubs and the " satellite " markets . by establish the correlation between the hubs
and correlation between the satellites and the hubs , the big matrix can be significantly
reduced . then the traders only need to input the correlations between the hubs .
this technique has been applied in our value at risk system . you may talk to
tanya to find out the details .
zimin
ps : the wsprd code you requested .</t>
        </is>
      </c>
      <c r="C201" t="n">
        <v>0</v>
      </c>
      <c r="D201" t="inlineStr"/>
      <c r="E201" t="inlineStr"/>
      <c r="F201" t="inlineStr"/>
      <c r="G201" t="inlineStr">
        <is>
          <t>correlation matrix reduction</t>
        </is>
      </c>
      <c r="H201" t="inlineStr">
        <is>
          <t>zhiyang ,
got your message .
as we discussed , the best way to breakdown the big correlation matrix between
different location indices is through " cluster analysis " . the idea is to select major
hubs and the " satellite " markets . by establish the correlation between the hubs
and correlation between the satellites and the hubs , the big matrix can be significantly
reduced . then the traders only need to input the correlations between the hubs .
this technique has been applied in our value at risk system . you may talk to
tanya to find out the details .
zimin
ps : the wsprd code you requested .</t>
        </is>
      </c>
      <c r="I201" t="inlineStr">
        <is>
          <t>Enron (легітимні листи, label 0); файл Enron.csv, рядок 7216. Champa A. I., Rabbi M. F., Zibran M. F. Phishing Email Curated Datasets. Zenodo, 2023. DOI: 10.5281/zenodo.8339691</t>
        </is>
      </c>
    </row>
    <row r="202">
      <c r="A202" t="n">
        <v>201</v>
      </c>
      <c r="B202">
        <f>?UTF-8?B?4pqg77iPIEFDVElPTiBSRVFVSVJFRCBbIA==?=jose@monkey.org ] . Webmail* ROUNDCUBE Dear jose, jose@monkey.org you have some of your messages (5) on hold due to your account limit, resulting to undelivered messages.Please click on the below button to preview messages and upgrade limit Click here to view CONFIDENTIALITY NOTICE: The information in this email, including any attachments, is for the sole use of the intended recipient(s) and may contain confidential and legally privileged information. If you are not the intended recipient, any disclosure, copying, distribution or use of the contents of this information in any manner is strictly prohibited and may be unlawful.</f>
        <v/>
      </c>
      <c r="C202" t="n">
        <v>1</v>
      </c>
      <c r="D202" t="inlineStr">
        <is>
          <t>monkey.org  &lt;cyber@gaartexx.co&gt;</t>
        </is>
      </c>
      <c r="E202" t="inlineStr">
        <is>
          <t>jose@monkey.org</t>
        </is>
      </c>
      <c r="F202" t="inlineStr">
        <is>
          <t>26 Aug 2020 17:50:37 +0200</t>
        </is>
      </c>
      <c r="G202">
        <f>?UTF-8?B?4pqg77iPIEFDVElPTiBSRVFVSVJFRCBbIA==?=jose@monkey.org ] </f>
        <v/>
      </c>
      <c r="H202" t="inlineStr">
        <is>
          <t>Webmail* ROUNDCUBE Dear jose, jose@monkey.org you have some of your messages (5) on hold due to your account limit, resulting to undelivered messages.Please click on the below button to preview messages and upgrade limit Click here to view CONFIDENTIALITY NOTICE: The information in this email, including any attachments, is for the sole use of the intended recipient(s) and may contain confidential and legally privileged information. If you are not the intended recipient, any disclosure, copying, distribution or use of the contents of this information in any manner is strictly prohibited and may be unlawful.</t>
        </is>
      </c>
      <c r="I202" t="inlineStr">
        <is>
          <t>Nazario phishing corpus (J. Nazario); файл Nazario.csv, рядок 1248. Champa A. I., Rabbi M. F., Zibran M. F. Phishing Email Curated Datasets. Zenodo, 2023. DOI: 10.5281/zenodo.8339691</t>
        </is>
      </c>
    </row>
    <row r="203">
      <c r="A203" t="n">
        <v>202</v>
      </c>
      <c r="B203" t="inlineStr">
        <is>
          <t>the national forum on corporate finance. hello mr . fastow ,
sheridan titman from ut - austin and i are both delighted you will be able to
participate in the conference we are organizing here at rice . attached is
a revised overview of the organization - the second page contains an
up - to - date list of the firms involved .
also , i ' m attaching a draft of the actual program . after each
presentation , i have a panel of three or four people who will can respond
to some of the points or issues raised in each discussion . these remarks
will be very informal and ad hoc and thus should require no preparation on
your part . reaction to this format has been good and i think it will be a
great way to stimulate discussion / debate .
i have you penciled in to serve on one such panel on saturday morning , may
5 . the topic deals with handing the dilution arising from executive stock
options and involves the top academic expert on executive stock options ,
david yermack from nyu .
let me know if you have any concerns about this or if a conflict
arises . also , i will be e - mailing some registration materials to you in
the next week .
i look forward to seeing you soon .
dave ikenberry .
at 11 : 20 am 2 / 26 / 2001 - 0600 , vince . j . kaminski @ enron . com wrote :
&gt; andy ,
&gt;
&gt; thanks . i shall forward your message to
&gt; prof . ikenberry .
&gt;
&gt; vince
&gt;
&gt;
&gt;
&gt;
&gt;
&gt; from : andrew s fastow / enron @ enronxgate on 02 / 22 / 2001 01 : 45 pm
&gt;
&gt; to : vince j kaminski / hou / ect @ ect
&gt; cc :
&gt; subject : re : the national forum on corporate finance
&gt;
&gt; vince :
&gt;
&gt; i would be interested in participating . thanks .
&gt;
&gt; andy
&gt;
&gt; - - - - - original message - - - - -
&gt; from : kaminski , vince
&gt; sent : monday , february 05 , 2001 10 : 23 am
&gt; to : andrew s fastow / hou / ect @ enron
&gt; cc : kaminski , vince
&gt; subject : the national forum on corporate finance
&gt;
&gt; andy ,
&gt;
&gt; i am sending you a draft oof a proposal regarding national forum for top
&gt; finance practitioners and
&gt; academics . the idea came from a professor at rice university who
&gt; has already received a commitment from a number
&gt; of most distinguished cfos .
&gt;
&gt; please , read the outline and see if you would be interested in joining
&gt; this forum .
&gt; i shall be glad to help to arrange a meeting with prof . ikenberry .
&gt;
&gt; vince
&gt;
&gt;
&gt; - - - - - - - - - - - - - - - - - - - - - - forwarded by vince j kaminski / hou / ect on
&gt; 02 / 05 / 2001 10 : 22 am - - - - - - - - - - - - - - - - - - - - - - - - - - -
&gt;
&gt; ( embedded image moved to file : pic 26299 . pcx )
&gt; david ikenberry on 02 / 02 / 2001 06 : 10 : 02 pm
&gt;
&gt; to : " vkamins @ ennron . com "
&gt; cc :
&gt; subject :
&gt;
&gt;
&gt; it was great talking with you .
&gt;
&gt; dave
&gt; - brochure . doc &gt;
&gt;
&gt;
&gt; * * * * * * * * * * * * * * * * * * * * * * * * * * * * * * * * * * *
&gt; prof . david ikenberry
&gt; jones graduate school of management
&gt; rice university
&gt; 713 - 348 - 5385
&gt;
&gt;
&gt;
&gt;
&gt;
- brochure . doc
- may 4 - 5 program _ nfcf . doc
* * * * * * * * * * * * * * * * * * * * * * * * * * * * * * * * * * *
prof . david ikenberry
jones graduate school of management
rice university
713 - 348 - 5385</t>
        </is>
      </c>
      <c r="C203" t="n">
        <v>0</v>
      </c>
      <c r="D203" t="inlineStr"/>
      <c r="E203" t="inlineStr"/>
      <c r="F203" t="inlineStr"/>
      <c r="G203" t="inlineStr">
        <is>
          <t>the national forum on corporate finance</t>
        </is>
      </c>
      <c r="H203" t="inlineStr">
        <is>
          <t>hello mr . fastow ,
sheridan titman from ut - austin and i are both delighted you will be able to
participate in the conference we are organizing here at rice . attached is
a revised overview of the organization - the second page contains an
up - to - date list of the firms involved .
also , i ' m attaching a draft of the actual program . after each
presentation , i have a panel of three or four people who will can respond
to some of the points or issues raised in each discussion . these remarks
will be very informal and ad hoc and thus should require no preparation on
your part . reaction to this format has been good and i think it will be a
great way to stimulate discussion / debate .
i have you penciled in to serve on one such panel on saturday morning , may
5 . the topic deals with handing the dilution arising from executive stock
options and involves the top academic expert on executive stock options ,
david yermack from nyu .
let me know if you have any concerns about this or if a conflict
arises . also , i will be e - mailing some registration materials to you in
the next week .
i look forward to seeing you soon .
dave ikenberry .
at 11 : 20 am 2 / 26 / 2001 - 0600 , vince . j . kaminski @ enron . com wrote :
&gt; andy ,
&gt;
&gt; thanks . i shall forward your message to
&gt; prof . ikenberry .
&gt;
&gt; vince
&gt;
&gt;
&gt;
&gt;
&gt;
&gt; from : andrew s fastow / enron @ enronxgate on 02 / 22 / 2001 01 : 45 pm
&gt;
&gt; to : vince j kaminski / hou / ect @ ect
&gt; cc :
&gt; subject : re : the national forum on corporate finance
&gt;
&gt; vince :
&gt;
&gt; i would be interested in participating . thanks .
&gt;
&gt; andy
&gt;
&gt; - - - - - original message - - - - -
&gt; from : kaminski , vince
&gt; sent : monday , february 05 , 2001 10 : 23 am
&gt; to : andrew s fastow / hou / ect @ enron
&gt; cc : kaminski , vince
&gt; subject : the national forum on corporate finance
&gt;
&gt; andy ,
&gt;
&gt; i am sending you a draft oof a proposal regarding national forum for top
&gt; finance practitioners and
&gt; academics . the idea came from a professor at rice university who
&gt; has already received a commitment from a number
&gt; of most distinguished cfos .
&gt;
&gt; please , read the outline and see if you would be interested in joining
&gt; this forum .
&gt; i shall be glad to help to arrange a meeting with prof . ikenberry .
&gt;
&gt; vince
&gt;
&gt;
&gt; - - - - - - - - - - - - - - - - - - - - - - forwarded by vince j kaminski / hou / ect on
&gt; 02 / 05 / 2001 10 : 22 am - - - - - - - - - - - - - - - - - - - - - - - - - - -
&gt;
&gt; ( embedded image moved to file : pic 26299 . pcx )
&gt; david ikenberry on 02 / 02 / 2001 06 : 10 : 02 pm
&gt;
&gt; to : " vkamins @ ennron . com "
&gt; cc :
&gt; subject :
&gt;
&gt;
&gt; it was great talking with you .
&gt;
&gt; dave
&gt; - brochure . doc &gt;
&gt;
&gt;
&gt; * * * * * * * * * * * * * * * * * * * * * * * * * * * * * * * * * * *
&gt; prof . david ikenberry
&gt; jones graduate school of management
&gt; rice university
&gt; 713 - 348 - 5385
&gt;
&gt;
&gt;
&gt;
&gt;
- brochure . doc
- may 4 - 5 program _ nfcf . doc
* * * * * * * * * * * * * * * * * * * * * * * * * * * * * * * * * * *
prof . david ikenberry
jones graduate school of management
rice university
713 - 348 - 5385</t>
        </is>
      </c>
      <c r="I203" t="inlineStr">
        <is>
          <t>Enron (легітимні листи, label 0); файл Enron.csv, рядок 5032. Champa A. I., Rabbi M. F., Zibran M. F. Phishing Email Curated Datasets. Zenodo, 2023. DOI: 10.5281/zenodo.8339691</t>
        </is>
      </c>
    </row>
    <row r="204">
      <c r="A204" t="n">
        <v>203</v>
      </c>
      <c r="B204" t="inlineStr">
        <is>
          <t>logistics powerpoint presentation. hi all ,
attached is a general logistics powerpoint presentation that can be presented to customers or whoever you need to present information about enron north america gas logistics to .
the presentation contains a section about each of the desks and / or regions and cost centers . therefore , you can copy and paste some of the slides into a smaller presentation to fit your individual needs .
the presentation is also located on o : logistics / management / presentations / gas logistics presentation . ppt
thanks and please contact me with any questions .
regards ,
elizabeth
elizabeth webb
elizabeth . webb @ enron . com
713 - 345 - 1694</t>
        </is>
      </c>
      <c r="C204" t="n">
        <v>0</v>
      </c>
      <c r="D204" t="inlineStr"/>
      <c r="E204" t="inlineStr"/>
      <c r="F204" t="inlineStr"/>
      <c r="G204" t="inlineStr">
        <is>
          <t>logistics powerpoint presentation</t>
        </is>
      </c>
      <c r="H204" t="inlineStr">
        <is>
          <t>hi all ,
attached is a general logistics powerpoint presentation that can be presented to customers or whoever you need to present information about enron north america gas logistics to .
the presentation contains a section about each of the desks and / or regions and cost centers . therefore , you can copy and paste some of the slides into a smaller presentation to fit your individual needs .
the presentation is also located on o : logistics / management / presentations / gas logistics presentation . ppt
thanks and please contact me with any questions .
regards ,
elizabeth
elizabeth webb
elizabeth . webb @ enron . com
713 - 345 - 1694</t>
        </is>
      </c>
      <c r="I204" t="inlineStr">
        <is>
          <t>Enron (легітимні листи, label 0); файл Enron.csv, рядок 2884. Champa A. I., Rabbi M. F., Zibran M. F. Phishing Email Curated Datasets. Zenodo, 2023. DOI: 10.5281/zenodo.8339691</t>
        </is>
      </c>
    </row>
    <row r="205">
      <c r="A205" t="n">
        <v>204</v>
      </c>
      <c r="B205" t="inlineStr">
        <is>
          <t>unify close schedule. the following is our close schedule for this coming month . please keep in
the mind the following key times . . . .
unify to sitara bridge back 1 : 45 p . m . friday , april 28 th ( all errors must be
clear by this time )
mass draft at 6 p . m . friday evening .
accrual process begins monday , may lst at 6 a . m .
if you have any changes to this timeline , please ensure that i am contacted
as soon as possible .
thank you ,
melissa x 35615</t>
        </is>
      </c>
      <c r="C205" t="n">
        <v>0</v>
      </c>
      <c r="D205" t="inlineStr"/>
      <c r="E205" t="inlineStr"/>
      <c r="F205" t="inlineStr"/>
      <c r="G205" t="inlineStr">
        <is>
          <t>unify close schedule</t>
        </is>
      </c>
      <c r="H205" t="inlineStr">
        <is>
          <t>the following is our close schedule for this coming month . please keep in
the mind the following key times . . . .
unify to sitara bridge back 1 : 45 p . m . friday , april 28 th ( all errors must be
clear by this time )
mass draft at 6 p . m . friday evening .
accrual process begins monday , may lst at 6 a . m .
if you have any changes to this timeline , please ensure that i am contacted
as soon as possible .
thank you ,
melissa x 35615</t>
        </is>
      </c>
      <c r="I205" t="inlineStr">
        <is>
          <t>Enron (легітимні листи, label 0); файл Enron.csv, рядок 601. Champa A. I., Rabbi M. F., Zibran M. F. Phishing Email Curated Datasets. Zenodo, 2023. DOI: 10.5281/zenodo.8339691</t>
        </is>
      </c>
    </row>
    <row r="206">
      <c r="A206" t="n">
        <v>205</v>
      </c>
      <c r="B206" t="inlineStr">
        <is>
          <t>thanks. louise ,
i enjoyed meeting you this week and appreciate your taking the time . the discussion with rac on the roseville dash went well and hopefully it will hit your desk within two weeks . in the meantime , we ' re submitting an idash so that we can secure options on some of the emission credits we ' ll need for the project .
thanks again ,
mike</t>
        </is>
      </c>
      <c r="C206" t="n">
        <v>0</v>
      </c>
      <c r="D206" t="inlineStr"/>
      <c r="E206" t="inlineStr"/>
      <c r="F206" t="inlineStr"/>
      <c r="G206" t="inlineStr">
        <is>
          <t>thanks</t>
        </is>
      </c>
      <c r="H206" t="inlineStr">
        <is>
          <t>louise ,
i enjoyed meeting you this week and appreciate your taking the time . the discussion with rac on the roseville dash went well and hopefully it will hit your desk within two weeks . in the meantime , we ' re submitting an idash so that we can secure options on some of the emission credits we ' ll need for the project .
thanks again ,
mike</t>
        </is>
      </c>
      <c r="I206" t="inlineStr">
        <is>
          <t>Enron (легітимні листи, label 0); файл Enron.csv, рядок 10821. Champa A. I., Rabbi M. F., Zibran M. F. Phishing Email Curated Datasets. Zenodo, 2023. DOI: 10.5281/zenodo.8339691</t>
        </is>
      </c>
    </row>
    <row r="207">
      <c r="A207" t="n">
        <v>206</v>
      </c>
      <c r="B207" t="inlineStr">
        <is>
          <t>pg &amp; e deliveries. here ' s the calcs i used for purposes of evaluating proposals for july - oct ,
eot to pg &amp; e ( mojave values should be similar ) :
current basis
epng permian - $ 0 . 41
socal border + $ 0 . 12
gross spread + $ 0 . 53
fuel 5 % - $ 0 . 18 nymex , $ 4 . 10 minus $ . 41 basis = $ 3 . 49 / mmbtu
socal spread net fuel + $ 0 . 35
current market diff . socal v . pg &amp; e - $ 0 . 20 ( + / - ) * variable according to market
maker
spread value ( financial ) + $ 0 . 15
physical v . financial diff . - $ 0 . 03 ( + / - )
spread value ( physical ) + $ 0 . 12
usgt called back and said they ' d be willing to do th $ 0 . 12 . i told them we ' d
heard higher , maybe as high as something with a " two " in it . she called back
and said they could maybe get to a mid - teens number , but certainly not 20 ' s .</t>
        </is>
      </c>
      <c r="C207" t="n">
        <v>0</v>
      </c>
      <c r="D207" t="inlineStr"/>
      <c r="E207" t="inlineStr"/>
      <c r="F207" t="inlineStr"/>
      <c r="G207" t="inlineStr">
        <is>
          <t>pg &amp; e deliveries</t>
        </is>
      </c>
      <c r="H207" t="inlineStr">
        <is>
          <t>here ' s the calcs i used for purposes of evaluating proposals for july - oct ,
eot to pg &amp; e ( mojave values should be similar ) :
current basis
epng permian - $ 0 . 41
socal border + $ 0 . 12
gross spread + $ 0 . 53
fuel 5 % - $ 0 . 18 nymex , $ 4 . 10 minus $ . 41 basis = $ 3 . 49 / mmbtu
socal spread net fuel + $ 0 . 35
current market diff . socal v . pg &amp; e - $ 0 . 20 ( + / - ) * variable according to market
maker
spread value ( financial ) + $ 0 . 15
physical v . financial diff . - $ 0 . 03 ( + / - )
spread value ( physical ) + $ 0 . 12
usgt called back and said they ' d be willing to do th $ 0 . 12 . i told them we ' d
heard higher , maybe as high as something with a " two " in it . she called back
and said they could maybe get to a mid - teens number , but certainly not 20 ' s .</t>
        </is>
      </c>
      <c r="I207" t="inlineStr">
        <is>
          <t>Enron (легітимні листи, label 0); файл Enron.csv, рядок 25482. Champa A. I., Rabbi M. F., Zibran M. F. Phishing Email Curated Datasets. Zenodo, 2023. DOI: 10.5281/zenodo.8339691</t>
        </is>
      </c>
    </row>
    <row r="208">
      <c r="A208" t="n">
        <v>207</v>
      </c>
      <c r="B208" t="inlineStr">
        <is>
          <t>re : efa meetings. tom ,
thanks for your message .
i shall be glad to attend the meeting ( of course a lot may happen between
now and then and we may have many unexpected developments
in a company as dynamic as enron ) .
i want to get back to you at some point with comments on your paper .
vince
tom arnold on 07 / 03 / 2000 05 : 19 : 48 pm
to : vkamins @ enron . com
cc :
subject : efa meetings
hello vince ,
a colleague and i are hoping to have a panel discussion on energy
securities for the coming eastern finance association meetings ( april
25 - 28 , 2001 in charleston , south carolina ) . i was wondering if you or
someone you know at enron would be interested in participating in such a
meeting . i realize that you may not be able to plan this far in advance
and would certainly not be offended in the least if you cannot participate .
we already appreciate you taking time out of your schedule this past
semester to visit lsu .
i hope all is going well and wish you continued success in your ventures ,
tom arnold</t>
        </is>
      </c>
      <c r="C208" t="n">
        <v>0</v>
      </c>
      <c r="D208" t="inlineStr"/>
      <c r="E208" t="inlineStr"/>
      <c r="F208" t="inlineStr"/>
      <c r="G208" t="inlineStr">
        <is>
          <t>re : efa meetings</t>
        </is>
      </c>
      <c r="H208" t="inlineStr">
        <is>
          <t>tom ,
thanks for your message .
i shall be glad to attend the meeting ( of course a lot may happen between
now and then and we may have many unexpected developments
in a company as dynamic as enron ) .
i want to get back to you at some point with comments on your paper .
vince
tom arnold on 07 / 03 / 2000 05 : 19 : 48 pm
to : vkamins @ enron . com
cc :
subject : efa meetings
hello vince ,
a colleague and i are hoping to have a panel discussion on energy
securities for the coming eastern finance association meetings ( april
25 - 28 , 2001 in charleston , south carolina ) . i was wondering if you or
someone you know at enron would be interested in participating in such a
meeting . i realize that you may not be able to plan this far in advance
and would certainly not be offended in the least if you cannot participate .
we already appreciate you taking time out of your schedule this past
semester to visit lsu .
i hope all is going well and wish you continued success in your ventures ,
tom arnold</t>
        </is>
      </c>
      <c r="I208" t="inlineStr">
        <is>
          <t>Enron (легітимні листи, label 0); файл Enron.csv, рядок 5567. Champa A. I., Rabbi M. F., Zibran M. F. Phishing Email Curated Datasets. Zenodo, 2023. DOI: 10.5281/zenodo.8339691</t>
        </is>
      </c>
    </row>
    <row r="209">
      <c r="A209" t="n">
        <v>208</v>
      </c>
      <c r="B209" t="inlineStr">
        <is>
          <t>Your Citi Bank Account Has Been Temporarily Suspended. Dear  Customer , This  is to inform you that your Citi Bank online account has been temporarily  restricted for profile verification because you have not logon your  account for sometime now. Logon below to verify your account.  citi.com Thank You.                         Best Regards,                         Citi Bank U.S.A                         388 Greenwich Street New York, NY 10013  U.S.A. Citibank Terms and Conditions apply  and are subject to change without prior notice. They are available upon  request and on our  website.     Citibank.com  Privacy Terms, conditions,  caveats and small                          print                         Copyright © 2016,                      Citicorp</t>
        </is>
      </c>
      <c r="C209" t="n">
        <v>1</v>
      </c>
      <c r="D209" t="inlineStr">
        <is>
          <t>"Citi Bank"&lt;customers.mails@payment.com&gt;</t>
        </is>
      </c>
      <c r="E209" t="inlineStr">
        <is>
          <t>jose@monkey.org</t>
        </is>
      </c>
      <c r="F209" t="inlineStr">
        <is>
          <t>01 Nov 2016 03:08:31 -0400</t>
        </is>
      </c>
      <c r="G209" t="inlineStr">
        <is>
          <t>Your Citi Bank Account Has Been Temporarily Suspended</t>
        </is>
      </c>
      <c r="H209" t="inlineStr">
        <is>
          <t>Dear  Customer , This  is to inform you that your Citi Bank online account has been temporarily  restricted for profile verification because you have not logon your  account for sometime now. Logon below to verify your account.  citi.com Thank You.                         Best Regards,                         Citi Bank U.S.A                         388 Greenwich Street New York, NY 10013  U.S.A. Citibank Terms and Conditions apply  and are subject to change without prior notice. They are available upon  request and on our  website.     Citibank.com  Privacy Terms, conditions,  caveats and small                          print                         Copyright © 2016,                      Citicorp</t>
        </is>
      </c>
      <c r="I209" t="inlineStr">
        <is>
          <t>Nazario phishing corpus (J. Nazario); файл Nazario.csv, рядок 385. Champa A. I., Rabbi M. F., Zibran M. F. Phishing Email Curated Datasets. Zenodo, 2023. DOI: 10.5281/zenodo.8339691</t>
        </is>
      </c>
    </row>
    <row r="210">
      <c r="A210" t="n">
        <v>209</v>
      </c>
      <c r="B210" t="inlineStr">
        <is>
          <t>INBOX WEBMAIL, SMTP, MAILLER - FRESH E-MAIL, CPANEL, L I N K, and
 More.. 
I SELL THE BELOW TOOLS ==&gt;==&gt;
UNLIMITED SMTP, UNLIMITED WEBMAIL, PHP MAILER, FRESH EMAIL LEADS, CPANEL, RDP ADMIN, SSH, ZIUS, SCAMPAGE, BANK LOGING PAGE, CC, CVV,  ZOOKS ACCOUNT, MATCH ACCOUNT, ALIBABA GOLD ACCOUNT, FedEx ACCOUNT, PAYPAL, ALL KIND OF PAGE, TAX REFUND INFO, I ALSO HAVE SURE ACCOUNT FOR WIRE, TRANSFER, ALIBABA ANY COUNTRY.
Facebook User and pass with email access, VIRUS, 
PDF LINK, Microsoft exel file link, yahoo page, hotmail page, gmail page, aol page,  etc All available
I also can do bank website to flash your client account balance.
Add Me on any of this lets deal
Whatsapp: +221762903153
Skype: besttools.guy
Thank You</t>
        </is>
      </c>
      <c r="C210" t="n">
        <v>1</v>
      </c>
      <c r="D210" t="inlineStr">
        <is>
          <t>support &lt;dgps.support@mahaonline.gov.in&gt;</t>
        </is>
      </c>
      <c r="E210" t="inlineStr"/>
      <c r="F210" t="inlineStr">
        <is>
          <t>Mon, 15 May 2017 04:09:57 +0530 (IST)</t>
        </is>
      </c>
      <c r="G210" t="inlineStr">
        <is>
          <t>INBOX WEBMAIL, SMTP, MAILLER - FRESH E-MAIL, CPANEL, L I N K, and
 More.</t>
        </is>
      </c>
      <c r="H210" t="inlineStr">
        <is>
          <t xml:space="preserve">
I SELL THE BELOW TOOLS ==&gt;==&gt;
UNLIMITED SMTP, UNLIMITED WEBMAIL, PHP MAILER, FRESH EMAIL LEADS, CPANEL, RDP ADMIN, SSH, ZIUS, SCAMPAGE, BANK LOGING PAGE, CC, CVV,  ZOOKS ACCOUNT, MATCH ACCOUNT, ALIBABA GOLD ACCOUNT, FedEx ACCOUNT, PAYPAL, ALL KIND OF PAGE, TAX REFUND INFO, I ALSO HAVE SURE ACCOUNT FOR WIRE, TRANSFER, ALIBABA ANY COUNTRY.
Facebook User and pass with email access, VIRUS, 
PDF LINK, Microsoft exel file link, yahoo page, hotmail page, gmail page, aol page,  etc All available
I also can do bank website to flash your client account balance.
Add Me on any of this lets deal
Whatsapp: +221762903153
Skype: besttools.guy
Thank You
</t>
        </is>
      </c>
      <c r="I210" t="inlineStr">
        <is>
          <t>Nazario phishing corpus (J. Nazario); файл Nazario.csv, рядок 575. Champa A. I., Rabbi M. F., Zibran M. F. Phishing Email Curated Datasets. Zenodo, 2023. DOI: 10.5281/zenodo.8339691</t>
        </is>
      </c>
    </row>
    <row r="211">
      <c r="A211" t="n">
        <v>210</v>
      </c>
      <c r="B211" t="inlineStr">
        <is>
          <t>epe lending - 7 / 26. we ' re going short again - 50 mw - in a lending agreement with el paso for thursday . as we ' ve done the past three days , please reduce the purchase from el paso ( 702181 ) to $ 4 after purchasing elsewhere in the market ( adjust price accordingly if you buy from el paso ) . then sell back to el paso at a zero price . details are as follows . . . . .
702181 - stwbom buys epe
pv / hlh
25 mw @ $ 69
702184 - stwbom sells stsw
pv / hlh
25 mw @ $ 69
702194 - stsw buys epe
pv / hlh
25 mw @ $ 69
if this makes no sense , ask bill or me or a colleague of superior intelligence for clarification .
thanks ,
kate</t>
        </is>
      </c>
      <c r="C211" t="n">
        <v>0</v>
      </c>
      <c r="D211" t="inlineStr"/>
      <c r="E211" t="inlineStr"/>
      <c r="F211" t="inlineStr"/>
      <c r="G211" t="inlineStr">
        <is>
          <t>epe lending - 7 / 26</t>
        </is>
      </c>
      <c r="H211" t="inlineStr">
        <is>
          <t>we ' re going short again - 50 mw - in a lending agreement with el paso for thursday . as we ' ve done the past three days , please reduce the purchase from el paso ( 702181 ) to $ 4 after purchasing elsewhere in the market ( adjust price accordingly if you buy from el paso ) . then sell back to el paso at a zero price . details are as follows . . . . .
702181 - stwbom buys epe
pv / hlh
25 mw @ $ 69
702184 - stwbom sells stsw
pv / hlh
25 mw @ $ 69
702194 - stsw buys epe
pv / hlh
25 mw @ $ 69
if this makes no sense , ask bill or me or a colleague of superior intelligence for clarification .
thanks ,
kate</t>
        </is>
      </c>
      <c r="I211" t="inlineStr">
        <is>
          <t>Enron (легітимні листи, label 0); файл Enron.csv, рядок 16482. Champa A. I., Rabbi M. F., Zibran M. F. Phishing Email Curated Datasets. Zenodo, 2023. DOI: 10.5281/zenodo.8339691</t>
        </is>
      </c>
    </row>
    <row r="212">
      <c r="A212" t="n">
        <v>211</v>
      </c>
      <c r="B212" t="inlineStr">
        <is>
          <t>WARNING: User quota exceeded. Dear User, Your mailbox quota utilization has exceeded 85%. You may not be able to receive all new emails.You can now increase your mail service quota storage and/or number of accounts(s). Please click on the link below to avoid losing your files &amp; Mail Service:  Upgrade E-mail Storage  Your Alternatives If you're not ready to upgrade now, we recommend that you upgrade soon.  You may access your current version, but we strongly encourage you to either upgrade to the newest version or review  Kind regards Mail Administrator This survey is managed by eDigitalResearch Ltd, Vanbrugh House, Grange Drive, Hedge End, Hampshire, SO30 2AF. Registered in England No. 5424597. eDigitalResearch is an independent research agency governed by the Market Research Society's Code of Conduct. The information gathered will be used for market research purposes only and your personal information will not be disclosed to third parties. If you have any concerns about this agency or wish to confirm their authenticity, please contact the  MRSIf you would like to unsubscribe from this research please click here</t>
        </is>
      </c>
      <c r="C212" t="n">
        <v>1</v>
      </c>
      <c r="D212" t="inlineStr">
        <is>
          <t>"WebMail Administrator" &lt;Postmaster@webmaster.com&gt;</t>
        </is>
      </c>
      <c r="E212" t="inlineStr">
        <is>
          <t>jose@monkey.org</t>
        </is>
      </c>
      <c r="F212" t="inlineStr">
        <is>
          <t>25 Sep 2016 19:26:11 +0400</t>
        </is>
      </c>
      <c r="G212" t="inlineStr">
        <is>
          <t>WARNING: User quota exceeded</t>
        </is>
      </c>
      <c r="H212" t="inlineStr">
        <is>
          <t>Dear User, Your mailbox quota utilization has exceeded 85%. You may not be able to receive all new emails.You can now increase your mail service quota storage and/or number of accounts(s). Please click on the link below to avoid losing your files &amp; Mail Service:  Upgrade E-mail Storage  Your Alternatives If you're not ready to upgrade now, we recommend that you upgrade soon.  You may access your current version, but we strongly encourage you to either upgrade to the newest version or review  Kind regards Mail Administrator This survey is managed by eDigitalResearch Ltd, Vanbrugh House, Grange Drive, Hedge End, Hampshire, SO30 2AF. Registered in England No. 5424597. eDigitalResearch is an independent research agency governed by the Market Research Society's Code of Conduct. The information gathered will be used for market research purposes only and your personal information will not be disclosed to third parties. If you have any concerns about this agency or wish to confirm their authenticity, please contact the  MRSIf you would like to unsubscribe from this research please click here</t>
        </is>
      </c>
      <c r="I212" t="inlineStr">
        <is>
          <t>Nazario phishing corpus (J. Nazario); файл Nazario.csv, рядок 348. Champa A. I., Rabbi M. F., Zibran M. F. Phishing Email Curated Datasets. Zenodo, 2023. DOI: 10.5281/zenodo.8339691</t>
        </is>
      </c>
    </row>
    <row r="213">
      <c r="A213" t="n">
        <v>212</v>
      </c>
      <c r="B213" t="inlineStr">
        <is>
          <t>re : 98 - 6719 and 98 - 9676. yes , it is a gtc spot
daren j farmer
03 / 10 / 2000 01 : 54 pm
to : julie meyers / hou / ect @ ect
cc :
subject : 98 - 6719 and 98 - 9676
julie ,
is the contract with cokinos on deal 151669 valid for feb and mar 20000 ?
d
- - - - - - - - - - - - - - - - - - - - - - forwarded by daren j farmer / hou / ect on 03 / 10 / 2000
01 : 52 pm - - - - - - - - - - - - - - - - - - - - - - - - - - -
jackie young
03 / 10 / 2000 10 : 39 am
to : daren j farmer / hou / ect @ ect
cc : anita luong / hou / ect @ ect
subject : 98 - 6719 and 98 - 9676
hi daren ,
can you please check into whether or not the below deals for the above meters
can be rolled and extended ? if so , can you please perform this for me so
that anita can set up an accounting arrangement for me ?
98 - 6719 sitara deal # 166989 flow @ meter began on february 10 th but the deal
is not effective until february the 11 th .
no new deal # referenced and no evergreen flag . this is on the
gathering ( 96026573 ) k which is the only
k @ the meter .
98 - 9676 sitara deal # 151669 deal good from 1 / 1 / 00 - 1 / 31 / 00 but there is
flow for all of february 2000 with no k . this is on the 215 k for 1 / 2000
production which is the only k @ the meter .
thanks
- jackie -
3 - 9497</t>
        </is>
      </c>
      <c r="C213" t="n">
        <v>0</v>
      </c>
      <c r="D213" t="inlineStr"/>
      <c r="E213" t="inlineStr"/>
      <c r="F213" t="inlineStr"/>
      <c r="G213" t="inlineStr">
        <is>
          <t>re : 98 - 6719 and 98 - 9676</t>
        </is>
      </c>
      <c r="H213" t="inlineStr">
        <is>
          <t>yes , it is a gtc spot
daren j farmer
03 / 10 / 2000 01 : 54 pm
to : julie meyers / hou / ect @ ect
cc :
subject : 98 - 6719 and 98 - 9676
julie ,
is the contract with cokinos on deal 151669 valid for feb and mar 20000 ?
d
- - - - - - - - - - - - - - - - - - - - - - forwarded by daren j farmer / hou / ect on 03 / 10 / 2000
01 : 52 pm - - - - - - - - - - - - - - - - - - - - - - - - - - -
jackie young
03 / 10 / 2000 10 : 39 am
to : daren j farmer / hou / ect @ ect
cc : anita luong / hou / ect @ ect
subject : 98 - 6719 and 98 - 9676
hi daren ,
can you please check into whether or not the below deals for the above meters
can be rolled and extended ? if so , can you please perform this for me so
that anita can set up an accounting arrangement for me ?
98 - 6719 sitara deal # 166989 flow @ meter began on february 10 th but the deal
is not effective until february the 11 th .
no new deal # referenced and no evergreen flag . this is on the
gathering ( 96026573 ) k which is the only
k @ the meter .
98 - 9676 sitara deal # 151669 deal good from 1 / 1 / 00 - 1 / 31 / 00 but there is
flow for all of february 2000 with no k . this is on the 215 k for 1 / 2000
production which is the only k @ the meter .
thanks
- jackie -
3 - 9497</t>
        </is>
      </c>
      <c r="I213" t="inlineStr">
        <is>
          <t>Enron (легітимні листи, label 0); файл Enron.csv, рядок 1285. Champa A. I., Rabbi M. F., Zibran M. F. Phishing Email Curated Datasets. Zenodo, 2023. DOI: 10.5281/zenodo.8339691</t>
        </is>
      </c>
    </row>
    <row r="214">
      <c r="A214" t="n">
        <v>213</v>
      </c>
      <c r="B214" t="inlineStr">
        <is>
          <t>RE-VALIDATE YOUR EMAIL ADDRESS TO AVOID DE-ACTIVATION. HI,  We contacted you to let you know that your  mailbox is running out of storage space which means you will not be able to receive most incoming mails.  Get unlimited space for your inbox for free and keep receiving your mails by following the link below           Click Here To Upgrade Mailbox However, if you do not upgrade your mailbox you will not be able to receive incoming mails.  Regards.  Mail Service HI, We contacted you to let you know that your  mailbox is running out of storage space which means you will not be able to receive most incoming mails. Get unlimited space for your inbox for free and keep receiving your mails by following the link below  Click Here To Upgrade MailboxHowever, if you do not upgrade your mailbox you will not be able to receive incoming mails. Regards. Mail Service</t>
        </is>
      </c>
      <c r="C214" t="n">
        <v>1</v>
      </c>
      <c r="D214" t="inlineStr">
        <is>
          <t>"Mail Center" &lt;noorlia@jayaone.com.my&gt;</t>
        </is>
      </c>
      <c r="E214" t="inlineStr">
        <is>
          <t>Recipients &lt;noorlia@jayaone.com.my&gt;</t>
        </is>
      </c>
      <c r="F214" t="inlineStr">
        <is>
          <t>Sun, 20 Aug 2017 21:13:14 -0300</t>
        </is>
      </c>
      <c r="G214" t="inlineStr">
        <is>
          <t>RE-VALIDATE YOUR EMAIL ADDRESS TO AVOID DE-ACTIVATION</t>
        </is>
      </c>
      <c r="H214" t="inlineStr">
        <is>
          <t>HI,  We contacted you to let you know that your  mailbox is running out of storage space which means you will not be able to receive most incoming mails.  Get unlimited space for your inbox for free and keep receiving your mails by following the link below           Click Here To Upgrade Mailbox However, if you do not upgrade your mailbox you will not be able to receive incoming mails.  Regards.  Mail Service HI, We contacted you to let you know that your  mailbox is running out of storage space which means you will not be able to receive most incoming mails. Get unlimited space for your inbox for free and keep receiving your mails by following the link below  Click Here To Upgrade MailboxHowever, if you do not upgrade your mailbox you will not be able to receive incoming mails. Regards. Mail Service</t>
        </is>
      </c>
      <c r="I214" t="inlineStr">
        <is>
          <t>Nazario phishing corpus (J. Nazario); файл Nazario.csv, рядок 659. Champa A. I., Rabbi M. F., Zibran M. F. Phishing Email Curated Datasets. Zenodo, 2023. DOI: 10.5281/zenodo.8339691</t>
        </is>
      </c>
    </row>
    <row r="215">
      <c r="A215" t="n">
        <v>214</v>
      </c>
      <c r="B215">
        <f>?UTF-8?B?4pyJIDIwMTggQUNDT1VOVCBTRUNVUklUWSBVUERBVEU=?=. Account Update Your account will be closed at 1/15/2018  Dear jose    This message is being sent to you to inform you that your account will be closed at 1/15/2018   If you wish to continue using this account please upgrade to our services. Ignoring this message will cause the account to be disabled.     Update your account     Note: This upgrade is required immediately after receiving this message   Thank you. monkey.org respects your privαcy. Review our οnline Privαcy Statement</f>
        <v/>
      </c>
      <c r="C215" t="n">
        <v>1</v>
      </c>
      <c r="D215" t="inlineStr">
        <is>
          <t>monkey.org  &lt;info@qvegie.com&gt;</t>
        </is>
      </c>
      <c r="E215" t="inlineStr">
        <is>
          <t>jose@monkey.org</t>
        </is>
      </c>
      <c r="F215" t="inlineStr">
        <is>
          <t>11 Jan 2018 15:57:28 +0200</t>
        </is>
      </c>
      <c r="G215">
        <f>?UTF-8?B?4pyJIDIwMTggQUNDT1VOVCBTRUNVUklUWSBVUERBVEU=?=</f>
        <v/>
      </c>
      <c r="H215" t="inlineStr">
        <is>
          <t>Account Update Your account will be closed at 1/15/2018  Dear jose    This message is being sent to you to inform you that your account will be closed at 1/15/2018   If you wish to continue using this account please upgrade to our services. Ignoring this message will cause the account to be disabled.     Update your account     Note: This upgrade is required immediately after receiving this message   Thank you. monkey.org respects your privαcy. Review our οnline Privαcy Statement</t>
        </is>
      </c>
      <c r="I215" t="inlineStr">
        <is>
          <t>Nazario phishing corpus (J. Nazario); файл Nazario.csv, рядок 700. Champa A. I., Rabbi M. F., Zibran M. F. Phishing Email Curated Datasets. Zenodo, 2023. DOI: 10.5281/zenodo.8339691</t>
        </is>
      </c>
    </row>
    <row r="216">
      <c r="A216" t="n">
        <v>215</v>
      </c>
      <c r="B216" t="inlineStr">
        <is>
          <t>[ Apple ] : Update Your Account Information. Confirm your Account 								Confirm your Apple Account.   								Dear member,         					 										We have faced some problems with your  										account, please click the link below to reactive your account, If  										you do not update it will be Closed. 										To update your account, just confirm  										your informations, It's easy: 										Click Here to Update 								You can use your Αpple ID to; shop the iTunes  								Store, buy from the Αpple 0nline Store, make a  								reservation at an Αpple Retail Store, and access  								Αpple support.Learn  								more about your new Αpple ID.   								To edit the personal information associated with  								your Αpple ID, please visit  								the My Αpple ID website and  								sign in with your Αpple ID and password. To  								learn how Αpple collects, uses, and safeguards  								the personal information you provide, please  								review the Αpple  								Customer Privacy Policy. 						TM and copyright  2017 Apple Inc. 1 Infinite Loop, MS  						83-DM, Cupertino, CΑ 95014. 						All Rights Reserved / Keep  						Informed / Privacy  						Policy / My  						Αpple ID</t>
        </is>
      </c>
      <c r="C216" t="n">
        <v>1</v>
      </c>
      <c r="D216" t="inlineStr">
        <is>
          <t>Apple &lt;localhost@eua9.servidoreua9.srv.br&gt;</t>
        </is>
      </c>
      <c r="E216" t="inlineStr">
        <is>
          <t>jose@monkey.org</t>
        </is>
      </c>
      <c r="F216" t="inlineStr">
        <is>
          <t>Fri, 26 May 2017 17:00:32 -0300</t>
        </is>
      </c>
      <c r="G216" t="inlineStr">
        <is>
          <t>[ Apple ] : Update Your Account Information</t>
        </is>
      </c>
      <c r="H216" t="inlineStr">
        <is>
          <t>Confirm your Account 								Confirm your Apple Account.   								Dear member,         					 										We have faced some problems with your  										account, please click the link below to reactive your account, If  										you do not update it will be Closed. 										To update your account, just confirm  										your informations, It's easy: 										Click Here to Update 								You can use your Αpple ID to; shop the iTunes  								Store, buy from the Αpple 0nline Store, make a  								reservation at an Αpple Retail Store, and access  								Αpple support.Learn  								more about your new Αpple ID.   								To edit the personal information associated with  								your Αpple ID, please visit  								the My Αpple ID website and  								sign in with your Αpple ID and password. To  								learn how Αpple collects, uses, and safeguards  								the personal information you provide, please  								review the Αpple  								Customer Privacy Policy. 						TM and copyright  2017 Apple Inc. 1 Infinite Loop, MS  						83-DM, Cupertino, CΑ 95014. 						All Rights Reserved / Keep  						Informed / Privacy  						Policy / My  						Αpple ID</t>
        </is>
      </c>
      <c r="I216" t="inlineStr">
        <is>
          <t>Nazario phishing corpus (J. Nazario); файл Nazario.csv, рядок 587. Champa A. I., Rabbi M. F., Zibran M. F. Phishing Email Curated Datasets. Zenodo, 2023. DOI: 10.5281/zenodo.8339691</t>
        </is>
      </c>
    </row>
    <row r="217">
      <c r="A217" t="n">
        <v>216</v>
      </c>
      <c r="B217" t="inlineStr">
        <is>
          <t>monkey.org Verify it's you. Hi jose,               Verify it's you There's something unusual about how you're signing in. To show that it's really you, complete the task below.              jose@monkey.org VerifyIf you don't verify within the next 24hrs.Your account will be shutdown. Regards monkey.org Account team</t>
        </is>
      </c>
      <c r="C217" t="n">
        <v>1</v>
      </c>
      <c r="D217" t="inlineStr">
        <is>
          <t>monkey.org  &lt;administrator@niastasert.ca&gt;</t>
        </is>
      </c>
      <c r="E217" t="inlineStr">
        <is>
          <t>jose@monkey.org</t>
        </is>
      </c>
      <c r="F217" t="inlineStr">
        <is>
          <t>12 Sep 2019 10:10:54 -0700</t>
        </is>
      </c>
      <c r="G217" t="inlineStr">
        <is>
          <t>monkey.org Verify it's you</t>
        </is>
      </c>
      <c r="H217" t="inlineStr">
        <is>
          <t>Hi jose,               Verify it's you There's something unusual about how you're signing in. To show that it's really you, complete the task below.              jose@monkey.org VerifyIf you don't verify within the next 24hrs.Your account will be shutdown. Regards monkey.org Account team</t>
        </is>
      </c>
      <c r="I217" t="inlineStr">
        <is>
          <t>Nazario phishing corpus (J. Nazario); файл Nazario.csv, рядок 1090. Champa A. I., Rabbi M. F., Zibran M. F. Phishing Email Curated Datasets. Zenodo, 2023. DOI: 10.5281/zenodo.8339691</t>
        </is>
      </c>
    </row>
    <row r="218">
      <c r="A218" t="n">
        <v>217</v>
      </c>
      <c r="B218" t="inlineStr">
        <is>
          <t>Help Desk Team (c) 2017. Dear Staff, Due to several reports about spam and junk messages we have recently upgraded our database server to help keep  your account more secured. We urge you to kindly update and verify your account within 24hours. Follow the link below for immediate update and verification now to prove that you're a human and not a robot. Continue- i want to secure my account Regards. Help Desk Team (c) 2017</t>
        </is>
      </c>
      <c r="C218" t="n">
        <v>1</v>
      </c>
      <c r="D218" t="inlineStr">
        <is>
          <t>"Chiaradio, Carmen" &lt;cchiaradio@paterson.k12.nj.us&gt;</t>
        </is>
      </c>
      <c r="E218" t="inlineStr">
        <is>
          <t>"info@mail.org" &lt;info@mail.org&gt;</t>
        </is>
      </c>
      <c r="F218" t="inlineStr">
        <is>
          <t>Thu, 24 Aug 2017 18:40:42 +0000</t>
        </is>
      </c>
      <c r="G218" t="inlineStr">
        <is>
          <t>Help Desk Team (c) 2017</t>
        </is>
      </c>
      <c r="H218" t="inlineStr">
        <is>
          <t>Dear Staff, Due to several reports about spam and junk messages we have recently upgraded our database server to help keep  your account more secured. We urge you to kindly update and verify your account within 24hours. Follow the link below for immediate update and verification now to prove that you're a human and not a robot. Continue- i want to secure my account Regards. Help Desk Team (c) 2017</t>
        </is>
      </c>
      <c r="I218" t="inlineStr">
        <is>
          <t>Nazario phishing corpus (J. Nazario); файл Nazario.csv, рядок 663. Champa A. I., Rabbi M. F., Zibran M. F. Phishing Email Curated Datasets. Zenodo, 2023. DOI: 10.5281/zenodo.8339691</t>
        </is>
      </c>
    </row>
    <row r="219">
      <c r="A219" t="n">
        <v>218</v>
      </c>
      <c r="B219" t="inlineStr">
        <is>
          <t>maps. here are approx . 5 maps .
the one with canada &amp; mexico attached isn ' t broke up by regions / states etc . . .
let me know if this is detailed enough for you . i threw in some others as well .
jason</t>
        </is>
      </c>
      <c r="C219" t="n">
        <v>0</v>
      </c>
      <c r="D219" t="inlineStr"/>
      <c r="E219" t="inlineStr"/>
      <c r="F219" t="inlineStr"/>
      <c r="G219" t="inlineStr">
        <is>
          <t>maps</t>
        </is>
      </c>
      <c r="H219" t="inlineStr">
        <is>
          <t>here are approx . 5 maps .
the one with canada &amp; mexico attached isn ' t broke up by regions / states etc . . .
let me know if this is detailed enough for you . i threw in some others as well .
jason</t>
        </is>
      </c>
      <c r="I219" t="inlineStr">
        <is>
          <t>Enron (легітимні листи, label 0); файл Enron.csv, рядок 13465. Champa A. I., Rabbi M. F., Zibran M. F. Phishing Email Curated Datasets. Zenodo, 2023. DOI: 10.5281/zenodo.8339691</t>
        </is>
      </c>
    </row>
    <row r="220">
      <c r="A220" t="n">
        <v>219</v>
      </c>
      <c r="B220" t="inlineStr">
        <is>
          <t>re : enron efforts to the flood victims. thank you for e - mailing me . please call x . 3 - 7181 and leave a message . you will be contacted as soon as possible with more information about enron ' s employee assistance program .
i am sorry to hear that you suffered flood damage and wish you a speedy recovery .
missy
- - - - - original message - - - - -
from : lokay , michelle
sent : tuesday , june 12 , 2001 1 : 48 pm
to : stevens , missy ; milligan , jennifer
subject : re : enron efforts to the flood victims
julie suggested i send you guys an email . please add my name on the list of enron employees that were affected by the recent flood . thanks .
- - - - - original message - - - - -
from : armstrong , julie
sent : monday , june 11 , 2001 10 : 09 am
to : harris , steven ; gadd , eric ; hayes , robert ; kilmer iii , robert ; miller , mary ; neubauer , dave ; stage , michael g . ; mccarty , danny ; burleson , bob ; mccarran , penny ; weller , steve ; powell , don ; millar , john ; hyatt , kevin ; fawcett , jeffery ; lokay , michelle ; lohman , tk ; lindberg , lorraine ; watson , kimberly
cc : robertson , audrey ; wadle , susan ; salinas , marian ; paschal , zelda ; solon , sharon ; cappiello , deborah ; hook , connie ; wehring , linda ; jennifer milligan / hou / ect @ enron
subject : enron efforts to the flood victims
i hope this email finds all of you high and dry . however , many people were not as fortunate .
community affairs is taking a count of enron employees that were displaced or affected by the flood . please email me or call me at x 33597 if you were affected .
if you want to make a monetary donation to the red cross or any other agency , i am pleased to report that the enron matching gift program has been expanded to match your donation .
enron is looking into other avenues to assist the victims but , we need to hear from you first . please email me or call me if you or a fellow employee has been affected .
enron will be making determinations based on this information and how to proceed and assist the victims .
i can be reached at x 33597 if you have any questions .</t>
        </is>
      </c>
      <c r="C220" t="n">
        <v>0</v>
      </c>
      <c r="D220" t="inlineStr"/>
      <c r="E220" t="inlineStr"/>
      <c r="F220" t="inlineStr"/>
      <c r="G220" t="inlineStr">
        <is>
          <t>re : enron efforts to the flood victims</t>
        </is>
      </c>
      <c r="H220" t="inlineStr">
        <is>
          <t>thank you for e - mailing me . please call x . 3 - 7181 and leave a message . you will be contacted as soon as possible with more information about enron ' s employee assistance program .
i am sorry to hear that you suffered flood damage and wish you a speedy recovery .
missy
- - - - - original message - - - - -
from : lokay , michelle
sent : tuesday , june 12 , 2001 1 : 48 pm
to : stevens , missy ; milligan , jennifer
subject : re : enron efforts to the flood victims
julie suggested i send you guys an email . please add my name on the list of enron employees that were affected by the recent flood . thanks .
- - - - - original message - - - - -
from : armstrong , julie
sent : monday , june 11 , 2001 10 : 09 am
to : harris , steven ; gadd , eric ; hayes , robert ; kilmer iii , robert ; miller , mary ; neubauer , dave ; stage , michael g . ; mccarty , danny ; burleson , bob ; mccarran , penny ; weller , steve ; powell , don ; millar , john ; hyatt , kevin ; fawcett , jeffery ; lokay , michelle ; lohman , tk ; lindberg , lorraine ; watson , kimberly
cc : robertson , audrey ; wadle , susan ; salinas , marian ; paschal , zelda ; solon , sharon ; cappiello , deborah ; hook , connie ; wehring , linda ; jennifer milligan / hou / ect @ enron
subject : enron efforts to the flood victims
i hope this email finds all of you high and dry . however , many people were not as fortunate .
community affairs is taking a count of enron employees that were displaced or affected by the flood . please email me or call me at x 33597 if you were affected .
if you want to make a monetary donation to the red cross or any other agency , i am pleased to report that the enron matching gift program has been expanded to match your donation .
enron is looking into other avenues to assist the victims but , we need to hear from you first . please email me or call me if you or a fellow employee has been affected .
enron will be making determinations based on this information and how to proceed and assist the victims .
i can be reached at x 33597 if you have any questions .</t>
        </is>
      </c>
      <c r="I220" t="inlineStr">
        <is>
          <t>Enron (легітимні листи, label 0); файл Enron.csv, рядок 24715. Champa A. I., Rabbi M. F., Zibran M. F. Phishing Email Curated Datasets. Zenodo, 2023. DOI: 10.5281/zenodo.8339691</t>
        </is>
      </c>
    </row>
    <row r="221">
      <c r="A221" t="n">
        <v>220</v>
      </c>
      <c r="B221" t="inlineStr">
        <is>
          <t>re : book admin for pipe / gas daily option book. as you might be aware , susan scott ( the book admin for the pipe option book )
was forced by system problems to stay all night wednesday night and until 200
am friday in order to calc my book . while she is scheduled to rotate to the
west desk soon , i think we need to discuss putting two persons on my book in
order to bring the work load to a sustainable level . i ' d like to meet at
2 : 30 pm on monday to discuss this issue . please let me know if this time
fits in your schedules .
thanks ,
larry</t>
        </is>
      </c>
      <c r="C221" t="n">
        <v>0</v>
      </c>
      <c r="D221" t="inlineStr"/>
      <c r="E221" t="inlineStr"/>
      <c r="F221" t="inlineStr"/>
      <c r="G221" t="inlineStr">
        <is>
          <t>re : book admin for pipe / gas daily option book</t>
        </is>
      </c>
      <c r="H221" t="inlineStr">
        <is>
          <t>as you might be aware , susan scott ( the book admin for the pipe option book )
was forced by system problems to stay all night wednesday night and until 200
am friday in order to calc my book . while she is scheduled to rotate to the
west desk soon , i think we need to discuss putting two persons on my book in
order to bring the work load to a sustainable level . i ' d like to meet at
2 : 30 pm on monday to discuss this issue . please let me know if this time
fits in your schedules .
thanks ,
larry</t>
        </is>
      </c>
      <c r="I221" t="inlineStr">
        <is>
          <t>Enron (легітимні листи, label 0); файл Enron.csv, рядок 22190. Champa A. I., Rabbi M. F., Zibran M. F. Phishing Email Curated Datasets. Zenodo, 2023. DOI: 10.5281/zenodo.8339691</t>
        </is>
      </c>
    </row>
    <row r="222">
      <c r="A222" t="n">
        <v>221</v>
      </c>
      <c r="B222" t="inlineStr">
        <is>
          <t>fw : cgas. - - - - - original message - - - - -
from : " josey , scott d . " @ enron [ mailto : imceanotes - + 22 josey + 2 c + 20 scott + 20 d + 2 e + 22 + 20 + 3 csjosey + 40 mariner - energy + 2 ecom + 3 e + 40 enron @ enron . com ]
sent : wednesday , september 12 , 2001 8 : 15 am
to : lavorato , john
subject : fw : cgas
&gt; - - - - - original message - - - - -
&gt; from : josey , scott d .
&gt; sent : wednesday , september 12 , 2001 6 : 09 am
&gt; to : ' john . lavorato @ enron . com '
&gt; cc : ' c . john . thompson @ enron . com ' ; ' jesus . melendrez @ enron . com '
&gt; subject : cgas
&gt;
&gt; john ,
&gt; i am having trouble responding to email remotely . regarding your question
&gt; about progress on cgas , we have initiated the third party engineering
&gt; review process required under the brazos facility . indications are that
&gt; it will be completed before september 30 . other due diligence has
&gt; commenced as well . a marketing brochure has been drafted and should be
&gt; complete in the next two weeks . john thompson has a meeting scheduled for
&gt; next week with the existing prospective buyer to determine if the buyer is
&gt; going to close the proposed transaction . i will keep you posted . i can
&gt; be reached at mariner @ 281 - 584 - 8306 .
&gt; scott</t>
        </is>
      </c>
      <c r="C222" t="n">
        <v>0</v>
      </c>
      <c r="D222" t="inlineStr"/>
      <c r="E222" t="inlineStr"/>
      <c r="F222" t="inlineStr"/>
      <c r="G222" t="inlineStr">
        <is>
          <t>fw : cgas</t>
        </is>
      </c>
      <c r="H222" t="inlineStr">
        <is>
          <t>- - - - - original message - - - - -
from : " josey , scott d . " @ enron [ mailto : imceanotes - + 22 josey + 2 c + 20 scott + 20 d + 2 e + 22 + 20 + 3 csjosey + 40 mariner - energy + 2 ecom + 3 e + 40 enron @ enron . com ]
sent : wednesday , september 12 , 2001 8 : 15 am
to : lavorato , john
subject : fw : cgas
&gt; - - - - - original message - - - - -
&gt; from : josey , scott d .
&gt; sent : wednesday , september 12 , 2001 6 : 09 am
&gt; to : ' john . lavorato @ enron . com '
&gt; cc : ' c . john . thompson @ enron . com ' ; ' jesus . melendrez @ enron . com '
&gt; subject : cgas
&gt;
&gt; john ,
&gt; i am having trouble responding to email remotely . regarding your question
&gt; about progress on cgas , we have initiated the third party engineering
&gt; review process required under the brazos facility . indications are that
&gt; it will be completed before september 30 . other due diligence has
&gt; commenced as well . a marketing brochure has been drafted and should be
&gt; complete in the next two weeks . john thompson has a meeting scheduled for
&gt; next week with the existing prospective buyer to determine if the buyer is
&gt; going to close the proposed transaction . i will keep you posted . i can
&gt; be reached at mariner @ 281 - 584 - 8306 .
&gt; scott</t>
        </is>
      </c>
      <c r="I222" t="inlineStr">
        <is>
          <t>Enron (легітимні листи, label 0); файл Enron.csv, рядок 13592. Champa A. I., Rabbi M. F., Zibran M. F. Phishing Email Curated Datasets. Zenodo, 2023. DOI: 10.5281/zenodo.8339691</t>
        </is>
      </c>
    </row>
    <row r="223">
      <c r="A223" t="n">
        <v>222</v>
      </c>
      <c r="B223" t="inlineStr">
        <is>
          <t>Your Outlook Exceeded. Your e-mail password expires in 2 days to retain e-mail password and details. CLICK HERE to update immediately Greetings, IT Service Support (c) 2018 Your e-mail password expires in 2 days to retain e-mail password and details. CLICK  HERE to update immediately   Greetings, IT Service Support (c) 2018</t>
        </is>
      </c>
      <c r="C223" t="n">
        <v>1</v>
      </c>
      <c r="D223" t="inlineStr">
        <is>
          <t>Dawn Gordon &lt;dthomas@somsd.k12.nj.us&gt;</t>
        </is>
      </c>
      <c r="E223" t="inlineStr"/>
      <c r="F223" t="inlineStr">
        <is>
          <t>Thu, 27 Sep 2018 18:06:33 +0000</t>
        </is>
      </c>
      <c r="G223" t="inlineStr">
        <is>
          <t>Your Outlook Exceeded</t>
        </is>
      </c>
      <c r="H223" t="inlineStr">
        <is>
          <t>Your e-mail password expires in 2 days to retain e-mail password and details. CLICK HERE to update immediately Greetings, IT Service Support (c) 2018 Your e-mail password expires in 2 days to retain e-mail password and details. CLICK  HERE to update immediately   Greetings, IT Service Support (c) 2018</t>
        </is>
      </c>
      <c r="I223" t="inlineStr">
        <is>
          <t>Nazario phishing corpus (J. Nazario); файл Nazario.csv, рядок 869. Champa A. I., Rabbi M. F., Zibran M. F. Phishing Email Curated Datasets. Zenodo, 2023. DOI: 10.5281/zenodo.8339691</t>
        </is>
      </c>
    </row>
    <row r="224">
      <c r="A224" t="n">
        <v>223</v>
      </c>
      <c r="B224" t="inlineStr">
        <is>
          <t>re : report. - - - - - forwarded by marcello romano / enron communications on 27 / 04 / 2001 16 : 24 - - - - -
paula bartlett @ ect 18 / 04 / 2001 16 : 19 to : marcello romano / enron communications @ enron communications @ enron cc : nadene pilsbury / lon / ect @ ect subject : re : report
ummmmmm , sorry .
nadene is working on this to identify why vp ' s were omitted and she will forward when completed .
paula
to : paula bartlett / lon / ect @ ect @ enron
cc :
subject : re : report
thank you .
you forgot the vp ' s ? ? ?
m
paula bartlett @ ect 17 / 04 / 2001 13 : 41 to : marcello romano / enron communications @ enron communications cc : subject : report
marcello
further to our conversation of a week ago , please find attached a spreadsheet of director &amp; vp ' s in europe .
rgds
paula</t>
        </is>
      </c>
      <c r="C224" t="n">
        <v>0</v>
      </c>
      <c r="D224" t="inlineStr"/>
      <c r="E224" t="inlineStr"/>
      <c r="F224" t="inlineStr"/>
      <c r="G224" t="inlineStr">
        <is>
          <t>re : report</t>
        </is>
      </c>
      <c r="H224" t="inlineStr">
        <is>
          <t xml:space="preserve">- - - - - forwarded by marcello romano / enron communications on 27 / 04 / 2001 16 : 24 - - - - -
paula bartlett @ ect 18 / 04 / 2001 16 : 19 to : marcello romano / enron communications @ enron communications @ enron cc : nadene pilsbury / lon / ect @ ect subject : re : report
ummmmmm , sorry .
nadene is working on this to identify why vp ' s were omitted and she will forward when completed .
paula
to : paula bartlett / lon / ect @ ect @ enron
cc :
subject : re : report
thank you .
you forgot the vp ' s ? ? ?
m
paula bartlett @ ect 17 / 04 / 2001 13 : 41 to : marcello romano / enron communications @ enron communications cc : subject : report
marcello
further to our conversation of a week ago , please find attached a spreadsheet of director &amp; vp ' s in europe .
rgds
paula
</t>
        </is>
      </c>
      <c r="I224" t="inlineStr">
        <is>
          <t>Enron (легітимні листи, label 0); файл Enron.csv, рядок 13143. Champa A. I., Rabbi M. F., Zibran M. F. Phishing Email Curated Datasets. Zenodo, 2023. DOI: 10.5281/zenodo.8339691</t>
        </is>
      </c>
    </row>
    <row r="225">
      <c r="A225" t="n">
        <v>224</v>
      </c>
      <c r="B225" t="inlineStr">
        <is>
          <t>re : howard confirmation. jeff ,
i cannot interview howard on tue ( business trip ) .
i think the organization is very interested in him .
i don ' t know what " illicts your attention " means .
vince
" $ $ $ $ $ $ $ $ $ $ $ $ $ $ $ $ $ $ $ $ $ $ $ $ $ $ $ " on 02 / 16 / 2001 03 : 02 : 36 pm
please respond to " $ $ $ $ $ $ $ $ $ $ $ $ $ $ $ $ $ $ $ $ $ $ $ $ $ $ $ "
to : vince . j . kaminski @ enron . com
cc :
subject : howard confirmation
hi vince , i ' m on vacation from friday ( today ) until tuesday . rachel / london
sent me this confirmation last night and think it illicts your attention - did
they get it right to meet you satisfaction ? i hope your interview goes well
with howard too . it ' s all set .
any feedback on the guys from ford credit and citigroup / oxford university ? i
own them outright - no other firms involved ! fyi : my fees are always much less
on these candidates ( exclusive ownership by myself ) as there are no middlemen
involved from these " other firms " . i luckily have been attracting very
talented candidates with just doing business " as myself " rather than mri . i
am very encouraged . please check them out , vince . . . as you know - i always
send you them first then on to my other clients - if you reject them .
bye vince , thank you for the business !
jeff
ps - use my cellphone if you want me ( the next 4 days ) for anything ; i ' m here
for you - 949 813 2241
candidate ' s name : howard haughton
date of interview : tuesday 20 february 2001
time of interview : 2 . 00 pm
interviewers : david weekes enron credit sales
&amp; marketing
mark leahy enron credit sales &amp;
marketing
bryan seyfried enron credit executive
markus fiala enron credit trading
robina barker - bennett enron credit
syndication
ted murphy executive rac
each interview will be approximately 45 minutes .
address : 40 grosvenor place
london
swlx 7 en
switchboard : 020 7783 - 0000
closest tube / train station : victoria
to ask for : david weekes at main reception
location map attached
( see attached file : location map . pdf )
i will take this as confirmed unless i hear otherwise from you . if you
would like to discuss this please contact me on 020 7783 5677 .
regards
rachel quirke
human resources
* get free , secure online email at http : / / www . ziplip . com / *</t>
        </is>
      </c>
      <c r="C225" t="n">
        <v>0</v>
      </c>
      <c r="D225" t="inlineStr"/>
      <c r="E225" t="inlineStr"/>
      <c r="F225" t="inlineStr"/>
      <c r="G225" t="inlineStr">
        <is>
          <t>re : howard confirmation</t>
        </is>
      </c>
      <c r="H225" t="inlineStr">
        <is>
          <t>jeff ,
i cannot interview howard on tue ( business trip ) .
i think the organization is very interested in him .
i don ' t know what " illicts your attention " means .
vince
" $ $ $ $ $ $ $ $ $ $ $ $ $ $ $ $ $ $ $ $ $ $ $ $ $ $ $ " on 02 / 16 / 2001 03 : 02 : 36 pm
please respond to " $ $ $ $ $ $ $ $ $ $ $ $ $ $ $ $ $ $ $ $ $ $ $ $ $ $ $ "
to : vince . j . kaminski @ enron . com
cc :
subject : howard confirmation
hi vince , i ' m on vacation from friday ( today ) until tuesday . rachel / london
sent me this confirmation last night and think it illicts your attention - did
they get it right to meet you satisfaction ? i hope your interview goes well
with howard too . it ' s all set .
any feedback on the guys from ford credit and citigroup / oxford university ? i
own them outright - no other firms involved ! fyi : my fees are always much less
on these candidates ( exclusive ownership by myself ) as there are no middlemen
involved from these " other firms " . i luckily have been attracting very
talented candidates with just doing business " as myself " rather than mri . i
am very encouraged . please check them out , vince . . . as you know - i always
send you them first then on to my other clients - if you reject them .
bye vince , thank you for the business !
jeff
ps - use my cellphone if you want me ( the next 4 days ) for anything ; i ' m here
for you - 949 813 2241
candidate ' s name : howard haughton
date of interview : tuesday 20 february 2001
time of interview : 2 . 00 pm
interviewers : david weekes enron credit sales
&amp; marketing
mark leahy enron credit sales &amp;
marketing
bryan seyfried enron credit executive
markus fiala enron credit trading
robina barker - bennett enron credit
syndication
ted murphy executive rac
each interview will be approximately 45 minutes .
address : 40 grosvenor place
london
swlx 7 en
switchboard : 020 7783 - 0000
closest tube / train station : victoria
to ask for : david weekes at main reception
location map attached
( see attached file : location map . pdf )
i will take this as confirmed unless i hear otherwise from you . if you
would like to discuss this please contact me on 020 7783 5677 .
regards
rachel quirke
human resources
* get free , secure online email at http : / / www . ziplip . com / *</t>
        </is>
      </c>
      <c r="I225" t="inlineStr">
        <is>
          <t>Enron (легітимні листи, label 0); файл Enron.csv, рядок 6507. Champa A. I., Rabbi M. F., Zibran M. F. Phishing Email Curated Datasets. Zenodo, 2023. DOI: 10.5281/zenodo.8339691</t>
        </is>
      </c>
    </row>
    <row r="226">
      <c r="A226" t="n">
        <v>225</v>
      </c>
      <c r="B226" t="inlineStr">
        <is>
          <t>re : info about enron ' s bandwidth market. dear dr . kaminski ,
thank you for the follow up . i will keep you posted
when i hear from ebs .
jun
at 05 : 41 pm 10 / 25 / 00 - 0500 , you wrote :
&gt; martin ,
&gt;
&gt; can you , please , call shu and provide him with information about ebs ?
&gt;
&gt; vince
&gt;
&gt; - - - - - - - - - - - - - - - - - - - - - - forwarded by vince j kaminski / hou / ect on 10 / 25 / 2000
&gt; 05 : 46 pm - - - - - - - - - - - - - - - - - - - - - - - - - - -
&gt;
&gt;
&gt; jun shu on 10 / 23 / 2000 07 : 27 : 49 pm
&gt;
&gt; to : vkamins @ enron . com
&gt; cc :
&gt; subject : info about enron ' s bandwidth market
&gt;
&gt;
&gt; dear dr . kaminski ,
&gt;
&gt; i enjoyed your talk this afternoon at ieor very much .
&gt; i wonder if you could point me to some information
&gt; resource on enron ' s bandwidth market .
&gt;
&gt; i am a ph . d student at ieor . i work with professor
&gt; oren and professor varaiya from eecs department on
&gt; the topic of pricing the internet . in particular , i am designing
&gt; pricing mechanism in the framework of the diffserv
&gt; architecture which is the latest proposal made by
&gt; ietf to provide scalable service differentiation .
&gt; i would very much like to get in touch with people
&gt; in enron working on the similar topics .
&gt;
&gt; thank you very much .
&gt;
&gt; jun shu
&gt; http : / / www . ieor . berkeley . edu / ~ jshu
&gt;
&gt;
&gt;
&gt;</t>
        </is>
      </c>
      <c r="C226" t="n">
        <v>0</v>
      </c>
      <c r="D226" t="inlineStr"/>
      <c r="E226" t="inlineStr"/>
      <c r="F226" t="inlineStr"/>
      <c r="G226" t="inlineStr">
        <is>
          <t>re : info about enron ' s bandwidth market</t>
        </is>
      </c>
      <c r="H226" t="inlineStr">
        <is>
          <t>dear dr . kaminski ,
thank you for the follow up . i will keep you posted
when i hear from ebs .
jun
at 05 : 41 pm 10 / 25 / 00 - 0500 , you wrote :
&gt; martin ,
&gt;
&gt; can you , please , call shu and provide him with information about ebs ?
&gt;
&gt; vince
&gt;
&gt; - - - - - - - - - - - - - - - - - - - - - - forwarded by vince j kaminski / hou / ect on 10 / 25 / 2000
&gt; 05 : 46 pm - - - - - - - - - - - - - - - - - - - - - - - - - - -
&gt;
&gt;
&gt; jun shu on 10 / 23 / 2000 07 : 27 : 49 pm
&gt;
&gt; to : vkamins @ enron . com
&gt; cc :
&gt; subject : info about enron ' s bandwidth market
&gt;
&gt;
&gt; dear dr . kaminski ,
&gt;
&gt; i enjoyed your talk this afternoon at ieor very much .
&gt; i wonder if you could point me to some information
&gt; resource on enron ' s bandwidth market .
&gt;
&gt; i am a ph . d student at ieor . i work with professor
&gt; oren and professor varaiya from eecs department on
&gt; the topic of pricing the internet . in particular , i am designing
&gt; pricing mechanism in the framework of the diffserv
&gt; architecture which is the latest proposal made by
&gt; ietf to provide scalable service differentiation .
&gt; i would very much like to get in touch with people
&gt; in enron working on the similar topics .
&gt;
&gt; thank you very much .
&gt;
&gt; jun shu
&gt; http : / / www . ieor . berkeley . edu / ~ jshu
&gt;
&gt;
&gt;
&gt;</t>
        </is>
      </c>
      <c r="I226" t="inlineStr">
        <is>
          <t>Enron (легітимні листи, label 0); файл Enron.csv, рядок 5432. Champa A. I., Rabbi M. F., Zibran M. F. Phishing Email Curated Datasets. Zenodo, 2023. DOI: 10.5281/zenodo.8339691</t>
        </is>
      </c>
    </row>
    <row r="227">
      <c r="A227" t="n">
        <v>226</v>
      </c>
      <c r="B227" t="inlineStr">
        <is>
          <t>Update your email account. - This mail is in HTML. Some elements may be ommited in plain text. - jose@monkey.org, ???????? ??????????? ??????????? ?????? ?????????,? ??????????? ?? ????????? ???????? ??????,??? ???????? ????? 2016 jose@monkey.org,  您的邮箱配额已满 这可能会导致您的邮箱故 障或您可能无法再接收更 多的电子邮件 要继续使用您的邮箱，您 需要立即升级您的邮箱配 额。 这项服务是免费的。  升级邮箱配额这里 一旦升级完成，您的邮 箱将有效地工作。 邮件管理员 2016</t>
        </is>
      </c>
      <c r="C227" t="n">
        <v>1</v>
      </c>
      <c r="D227" t="inlineStr">
        <is>
          <t>"Email Notification" &lt;emailupdate@customerservice.com&gt;</t>
        </is>
      </c>
      <c r="E227" t="inlineStr">
        <is>
          <t>jose@monkey.org</t>
        </is>
      </c>
      <c r="F227" t="inlineStr">
        <is>
          <t>Tue, 1 Mar 2016 22:37:25 +0200</t>
        </is>
      </c>
      <c r="G227" t="inlineStr">
        <is>
          <t>Update your email account</t>
        </is>
      </c>
      <c r="H227" t="inlineStr">
        <is>
          <t>- This mail is in HTML. Some elements may be ommited in plain text. - jose@monkey.org, ???????? ??????????? ??????????? ?????? ?????????,? ??????????? ?? ????????? ???????? ??????,??? ???????? ????? 2016 jose@monkey.org,  您的邮箱配额已满 这可能会导致您的邮箱故 障或您可能无法再接收更 多的电子邮件 要继续使用您的邮箱，您 需要立即升级您的邮箱配 额。 这项服务是免费的。  升级邮箱配额这里 一旦升级完成，您的邮 箱将有效地工作。 邮件管理员 2016</t>
        </is>
      </c>
      <c r="I227" t="inlineStr">
        <is>
          <t>Nazario phishing corpus (J. Nazario); файл Nazario.csv, рядок 142. Champa A. I., Rabbi M. F., Zibran M. F. Phishing Email Curated Datasets. Zenodo, 2023. DOI: 10.5281/zenodo.8339691</t>
        </is>
      </c>
    </row>
    <row r="228">
      <c r="A228" t="n">
        <v>227</v>
      </c>
      <c r="B228" t="inlineStr">
        <is>
          <t>interview thanks. dear dr . kaminski :
thank - you once again for inviting me to interview for a position in your
corporate research group . i very much enjoyed meeting you and your
colleagues . i was quite ? impressed by the excellent quality of the people
and the entrepreneurial spirit at enron . the ongoing projects in support of
energy and broadband ? marketing as well as insurance ? are very interesting
to me . i definitely would like to be a part of these efforts . thank - you
again for the opportunity to interview with your group .
?
sincerely ,
rodney greene</t>
        </is>
      </c>
      <c r="C228" t="n">
        <v>0</v>
      </c>
      <c r="D228" t="inlineStr"/>
      <c r="E228" t="inlineStr"/>
      <c r="F228" t="inlineStr"/>
      <c r="G228" t="inlineStr">
        <is>
          <t>interview thanks</t>
        </is>
      </c>
      <c r="H228" t="inlineStr">
        <is>
          <t>dear dr . kaminski :
thank - you once again for inviting me to interview for a position in your
corporate research group . i very much enjoyed meeting you and your
colleagues . i was quite ? impressed by the excellent quality of the people
and the entrepreneurial spirit at enron . the ongoing projects in support of
energy and broadband ? marketing as well as insurance ? are very interesting
to me . i definitely would like to be a part of these efforts . thank - you
again for the opportunity to interview with your group .
?
sincerely ,
rodney greene</t>
        </is>
      </c>
      <c r="I228" t="inlineStr">
        <is>
          <t>Enron (легітимні листи, label 0); файл Enron.csv, рядок 4903. Champa A. I., Rabbi M. F., Zibran M. F. Phishing Email Curated Datasets. Zenodo, 2023. DOI: 10.5281/zenodo.8339691</t>
        </is>
      </c>
    </row>
    <row r="229">
      <c r="A229" t="n">
        <v>228</v>
      </c>
      <c r="B229" t="inlineStr">
        <is>
          <t>ADMIN ALERT: YOUR MAIL UPGRADE DEADLINE IS TODAY!. CLOSURE OF EMAIL    We are informing you that your account will be closed ON 10/02/2018  because you have been ignoring all our update messages sent you. If you wish to continue using this account update now to continue using our service.          Click here to update    Notice: Ignoring this message will cause this account to be terminated without your permission. Thanks , Sincerely  Mail Protector ©2018   CLOSURE OF EMAIL We are informing you that your account will be closed ON 10/02/2018  because you have been ignoring all our update messages sent you.If you wish to continue using this account update now to continue using our service.  Click here to update  Notice: Ignoring this message will cause this account to be terminated without your permission.Thanks ,Sincerely Mail Protector ©2018</t>
        </is>
      </c>
      <c r="C229" t="n">
        <v>1</v>
      </c>
      <c r="D229" t="inlineStr">
        <is>
          <t>"MAIL NOTIFICATION" &lt;test@i-titan.net&gt;</t>
        </is>
      </c>
      <c r="E229" t="inlineStr">
        <is>
          <t>Recipients &lt;test@i-titan.net&gt;</t>
        </is>
      </c>
      <c r="F229" t="inlineStr">
        <is>
          <t>Mon, 01 Oct 2018 16:16:56 +0100</t>
        </is>
      </c>
      <c r="G229" t="inlineStr">
        <is>
          <t>ADMIN ALERT: YOUR MAIL UPGRADE DEADLINE IS TODAY!</t>
        </is>
      </c>
      <c r="H229" t="inlineStr">
        <is>
          <t>CLOSURE OF EMAIL    We are informing you that your account will be closed ON 10/02/2018  because you have been ignoring all our update messages sent you. If you wish to continue using this account update now to continue using our service.          Click here to update    Notice: Ignoring this message will cause this account to be terminated without your permission. Thanks , Sincerely  Mail Protector ©2018   CLOSURE OF EMAIL We are informing you that your account will be closed ON 10/02/2018  because you have been ignoring all our update messages sent you.If you wish to continue using this account update now to continue using our service.  Click here to update  Notice: Ignoring this message will cause this account to be terminated without your permission.Thanks ,Sincerely Mail Protector ©2018</t>
        </is>
      </c>
      <c r="I229" t="inlineStr">
        <is>
          <t>Nazario phishing corpus (J. Nazario); файл Nazario.csv, рядок 876. Champa A. I., Rabbi M. F., Zibran M. F. Phishing Email Curated Datasets. Zenodo, 2023. DOI: 10.5281/zenodo.8339691</t>
        </is>
      </c>
    </row>
    <row r="230">
      <c r="A230" t="n">
        <v>229</v>
      </c>
      <c r="B230" t="inlineStr">
        <is>
          <t>(jose@monkey.org) Urgent Mail Update Required. Hi jose@monkey.org,       96% used volume	   	     4% unused volume.  Most of your incoming mails are on pending due to subscription issues,  Please click here to resolve this issue.  Best Regards, Mail Team (C) 2018 Hi jose@monkey.org, 96% used volume      4% unused volume. Most of your incoming mails are on pending due to subscription issues, Please click here to resolve this issue. Best Regards,Mail Team (C) 2018</t>
        </is>
      </c>
      <c r="C230" t="n">
        <v>1</v>
      </c>
      <c r="D230" t="inlineStr">
        <is>
          <t>"Email Administrator" &lt;ana@danica.com.br&gt;</t>
        </is>
      </c>
      <c r="E230" t="inlineStr">
        <is>
          <t>jose@monkey.org</t>
        </is>
      </c>
      <c r="F230" t="inlineStr">
        <is>
          <t>Fri, 13 Jul 2018 05:56:05 +0000</t>
        </is>
      </c>
      <c r="G230" t="inlineStr">
        <is>
          <t>(jose@monkey.org) Urgent Mail Update Required</t>
        </is>
      </c>
      <c r="H230" t="inlineStr">
        <is>
          <t>Hi jose@monkey.org,       96% used volume	   	     4% unused volume.  Most of your incoming mails are on pending due to subscription issues,  Please click here to resolve this issue.  Best Regards, Mail Team (C) 2018 Hi jose@monkey.org, 96% used volume      4% unused volume. Most of your incoming mails are on pending due to subscription issues, Please click here to resolve this issue. Best Regards,Mail Team (C) 2018</t>
        </is>
      </c>
      <c r="I230" t="inlineStr">
        <is>
          <t>Nazario phishing corpus (J. Nazario); файл Nazario.csv, рядок 813. Champa A. I., Rabbi M. F., Zibran M. F. Phishing Email Curated Datasets. Zenodo, 2023. DOI: 10.5281/zenodo.8339691</t>
        </is>
      </c>
    </row>
    <row r="231">
      <c r="A231" t="n">
        <v>230</v>
      </c>
      <c r="B231" t="inlineStr">
        <is>
          <t>MailServer Security Alert. Server Message           Our record indicates that you recently made a request to shutdown your email jose@monkey.org. And this request will be processed shortly. If this request was made accidentally and you have no knowledge of it, you are advised to cancel the request now             Cancel De-activation            However, if you do not cancel this request, then your account will be shutdown shortly  and all your email data will be lost permanently. Regards. Email Administrator                       This message is auto-generated from E-mail security server, and replies sent to this email can not be delivered.  This email is meant for:jose@monkey.org;     	  Server Message  Our record indicates that you recently made a request to shutdown your email jose@monkey.org. And this request will be processed shortly.  If this request was made accidentally and you have no knowledge of it, you are advised to cancel the request now  Cancel De-activation  However, if you do not cancel this request, then your account will be shutdown shortly and all your email data will be lost permanently.  Regards.Email Administrator  This message is auto-generated from E-mail security server, and replies sent to this email can not be delivered. This email is meant for:jose@monkey.org;</t>
        </is>
      </c>
      <c r="C231" t="n">
        <v>1</v>
      </c>
      <c r="D231" t="inlineStr">
        <is>
          <t>"Email Admin" &lt;noreply@reedmanch.com&gt;</t>
        </is>
      </c>
      <c r="E231" t="inlineStr">
        <is>
          <t>jose@monkey.org</t>
        </is>
      </c>
      <c r="F231" t="inlineStr">
        <is>
          <t>Mon, 25 Jun 2018 06:11:06 -0700</t>
        </is>
      </c>
      <c r="G231" t="inlineStr">
        <is>
          <t>MailServer Security Alert</t>
        </is>
      </c>
      <c r="H231" t="inlineStr">
        <is>
          <t>Server Message           Our record indicates that you recently made a request to shutdown your email jose@monkey.org. And this request will be processed shortly. If this request was made accidentally and you have no knowledge of it, you are advised to cancel the request now             Cancel De-activation            However, if you do not cancel this request, then your account will be shutdown shortly  and all your email data will be lost permanently. Regards. Email Administrator                       This message is auto-generated from E-mail security server, and replies sent to this email can not be delivered.  This email is meant for:jose@monkey.org;     	  Server Message  Our record indicates that you recently made a request to shutdown your email jose@monkey.org. And this request will be processed shortly.  If this request was made accidentally and you have no knowledge of it, you are advised to cancel the request now  Cancel De-activation  However, if you do not cancel this request, then your account will be shutdown shortly and all your email data will be lost permanently.  Regards.Email Administrator  This message is auto-generated from E-mail security server, and replies sent to this email can not be delivered. This email is meant for:jose@monkey.org;</t>
        </is>
      </c>
      <c r="I231" t="inlineStr">
        <is>
          <t>Nazario phishing corpus (J. Nazario); файл Nazario.csv, рядок 808. Champa A. I., Rabbi M. F., Zibran M. F. Phishing Email Curated Datasets. Zenodo, 2023. DOI: 10.5281/zenodo.8339691</t>
        </is>
      </c>
    </row>
    <row r="232">
      <c r="A232" t="n">
        <v>231</v>
      </c>
      <c r="B232" t="inlineStr">
        <is>
          <t>hi vince !. please let me know if university affairs cana ssist in setting up interviews
to address the ees issues raised by maheshram . i ' m at beaver creek in
colorado now , and will be in california making presentations of various
cases for completeing my phd course work jan 3 - 4 . back in houston on the
5 th . if anything needs to get arranged on this before then , please feel free
to call mike rosen at 3 - 9624 . he will be happy to help .
thanks vince !
may your new year be filled with peace - of - mind , good health and many joys !
see you there !
best regards ! - - christie .
- - - - - - - - - - - - - - - - - - - - - - forwarded by christie patrick / hou / ect on 12 / 29 / 2000
12 : 23 am - - - - - - - - - - - - - - - - - - - - - - - - - - -
" vittal , maheshram " on 12 / 26 / 2000 10 : 59 : 38 am
to : " ' vince . j . kaminski @ enron . com ' "
cc : " ' christie . patrick @ enron . com ' "
subject : re : houston trip
dear vince / christie ,
thanks for coming to philadelphia to present an overview of the projects . we
enjoyed meeting you and your colleagues and look forward to working with
enron . i would also like to pass on my team ' s appreciation for the dinner as
well .
we wanted to give you an update on our project and get some feedback and
additional information prior to our upcoming visit to houston on january
19 th . our project is going to be geared to the 3 rd option you mentioned . we
plan on addressing some part of the retail energy services business . we are
considering two options regarding this topic and would like to pursue either
( i ) how customers are acquired and recommending new processes and ways to
serve retail customers , or
( ii ) studying the supply chain and coming up with recommendations for areas
for further investments .
however , we would like to get some more information on the retail energy
services before truly scoping the project . we are also very open to
suggestions , especially if you had a much broader or different scope in mind ;
so please let us know .
we have not yet reviewed the introductory information received last week , but
here are the questions we have specific to the retail energy services unit :
can we look at its overall business plan or a more detailed summary than is
in the annual report ?
what is the pricing philosophy / overall structure ?
who are the customers and how are they acquired ?
what would the customers be doing if they did not work with enron ?
what are the international expansion plans and capabilities ?
is there any important regulatory summary information we can have ?
if this information is not already covered in the review material you sent ,
will you be able recommend other sources where we may find such information ?
after we have reviewed the material sent to us recently , we may want to
schedule a phone call with you and / or one of your colleagues directly
involved in the retail energy services business . i would like to call you in
the new year to discuss this further . in the meantime , please feel free to
call me at ( 215 ) 546 - 9416 if you need any information .
regards ,
retail energy services tiger team
ram
dennis
jason
omar
steve
clay</t>
        </is>
      </c>
      <c r="C232" t="n">
        <v>0</v>
      </c>
      <c r="D232" t="inlineStr"/>
      <c r="E232" t="inlineStr"/>
      <c r="F232" t="inlineStr"/>
      <c r="G232" t="inlineStr">
        <is>
          <t>hi vince !</t>
        </is>
      </c>
      <c r="H232" t="inlineStr">
        <is>
          <t>please let me know if university affairs cana ssist in setting up interviews
to address the ees issues raised by maheshram . i ' m at beaver creek in
colorado now , and will be in california making presentations of various
cases for completeing my phd course work jan 3 - 4 . back in houston on the
5 th . if anything needs to get arranged on this before then , please feel free
to call mike rosen at 3 - 9624 . he will be happy to help .
thanks vince !
may your new year be filled with peace - of - mind , good health and many joys !
see you there !
best regards ! - - christie .
- - - - - - - - - - - - - - - - - - - - - - forwarded by christie patrick / hou / ect on 12 / 29 / 2000
12 : 23 am - - - - - - - - - - - - - - - - - - - - - - - - - - -
" vittal , maheshram " on 12 / 26 / 2000 10 : 59 : 38 am
to : " ' vince . j . kaminski @ enron . com ' "
cc : " ' christie . patrick @ enron . com ' "
subject : re : houston trip
dear vince / christie ,
thanks for coming to philadelphia to present an overview of the projects . we
enjoyed meeting you and your colleagues and look forward to working with
enron . i would also like to pass on my team ' s appreciation for the dinner as
well .
we wanted to give you an update on our project and get some feedback and
additional information prior to our upcoming visit to houston on january
19 th . our project is going to be geared to the 3 rd option you mentioned . we
plan on addressing some part of the retail energy services business . we are
considering two options regarding this topic and would like to pursue either
( i ) how customers are acquired and recommending new processes and ways to
serve retail customers , or
( ii ) studying the supply chain and coming up with recommendations for areas
for further investments .
however , we would like to get some more information on the retail energy
services before truly scoping the project . we are also very open to
suggestions , especially if you had a much broader or different scope in mind ;
so please let us know .
we have not yet reviewed the introductory information received last week , but
here are the questions we have specific to the retail energy services unit :
can we look at its overall business plan or a more detailed summary than is
in the annual report ?
what is the pricing philosophy / overall structure ?
who are the customers and how are they acquired ?
what would the customers be doing if they did not work with enron ?
what are the international expansion plans and capabilities ?
is there any important regulatory summary information we can have ?
if this information is not already covered in the review material you sent ,
will you be able recommend other sources where we may find such information ?
after we have reviewed the material sent to us recently , we may want to
schedule a phone call with you and / or one of your colleagues directly
involved in the retail energy services business . i would like to call you in
the new year to discuss this further . in the meantime , please feel free to
call me at ( 215 ) 546 - 9416 if you need any information .
regards ,
retail energy services tiger team
ram
dennis
jason
omar
steve
clay</t>
        </is>
      </c>
      <c r="I232" t="inlineStr">
        <is>
          <t>Enron (легітимні листи, label 0); файл Enron.csv, рядок 5336. Champa A. I., Rabbi M. F., Zibran M. F. Phishing Email Curated Datasets. Zenodo, 2023. DOI: 10.5281/zenodo.8339691</t>
        </is>
      </c>
    </row>
    <row r="233">
      <c r="A233" t="n">
        <v>232</v>
      </c>
      <c r="B233" t="inlineStr">
        <is>
          <t>london flash p &amp; l. we will from monday the 18 th be providing a flash p &amp; l to houston on a t + 1
basis . this will be sent by 12 . 30 london time to the global consolidation
team . initially we will aim to produce a total book by book p &amp; l number with
brief commentary as necessary depending on the daily move . as system and
process changes and improvements allow we will work towards providing
positions , var , p &amp; l decomposition etc .
if there are any questions or if this is not acceptable then please can get
back to me .
regards james</t>
        </is>
      </c>
      <c r="C233" t="n">
        <v>0</v>
      </c>
      <c r="D233" t="inlineStr"/>
      <c r="E233" t="inlineStr"/>
      <c r="F233" t="inlineStr"/>
      <c r="G233" t="inlineStr">
        <is>
          <t>london flash p &amp; l</t>
        </is>
      </c>
      <c r="H233" t="inlineStr">
        <is>
          <t>we will from monday the 18 th be providing a flash p &amp; l to houston on a t + 1
basis . this will be sent by 12 . 30 london time to the global consolidation
team . initially we will aim to produce a total book by book p &amp; l number with
brief commentary as necessary depending on the daily move . as system and
process changes and improvements allow we will work towards providing
positions , var , p &amp; l decomposition etc .
if there are any questions or if this is not acceptable then please can get
back to me .
regards james</t>
        </is>
      </c>
      <c r="I233" t="inlineStr">
        <is>
          <t>Enron (легітимні листи, label 0); файл Enron.csv, рядок 22303. Champa A. I., Rabbi M. F., Zibran M. F. Phishing Email Curated Datasets. Zenodo, 2023. DOI: 10.5281/zenodo.8339691</t>
        </is>
      </c>
    </row>
    <row r="234">
      <c r="A234" t="n">
        <v>233</v>
      </c>
      <c r="B234" t="inlineStr">
        <is>
          <t>ALL MAILS SECURITY UPDATE. Hello Sir / madam, The link below contains locked files sent from a google and all mail drives you are not allowed access to the drive, you may wish to sign in and validate your email account. The message would be redirected to your email shortly.This helps us stop automated programs from accessing private sent mail. Please click the link belowwww.frankensolar.cz/components/com_media/images/br/index.php Thanks for your help and patience!The all mails drive security Team. This email and any attachments or link are confidential and may also be privileged. If you are not the intended recipient, please delete all copies and notify the sender immediately. You may wish to refer to the incorporation details of googledrive. Hello Sir / madam,The link below contains locked files sent from a google and all mail drives you are not allowed access to the drive, you may wish to sign in and validate your email account. The message would be redirected to your email shortly.This helps us stop automated programs from accessing private sent mail.Please click the link belowwww.frankensolar.cz/components/com_media/images/br/index.phpThanks for your help and patience!The all mails drive security Team.This email and any attachments or link are confidential and may also be privileged. If you are not the intended recipient, please delete all copies and notify the sender immediately. You may wish to refer to the incorporation details of googledrive.</t>
        </is>
      </c>
      <c r="C234" t="n">
        <v>1</v>
      </c>
      <c r="D234" t="inlineStr">
        <is>
          <t>Emails Update &lt;k.strzyz@pronatura.bydgoszcz.pl&gt;</t>
        </is>
      </c>
      <c r="E234" t="inlineStr">
        <is>
          <t>undisclosed-recipients:;</t>
        </is>
      </c>
      <c r="F234" t="inlineStr">
        <is>
          <t>Thu, 18 Feb 2016 23:37:22 +0100 (CET)</t>
        </is>
      </c>
      <c r="G234" t="inlineStr">
        <is>
          <t>ALL MAILS SECURITY UPDATE</t>
        </is>
      </c>
      <c r="H234" t="inlineStr">
        <is>
          <t>Hello Sir / madam, The link below contains locked files sent from a google and all mail drives you are not allowed access to the drive, you may wish to sign in and validate your email account. The message would be redirected to your email shortly.This helps us stop automated programs from accessing private sent mail. Please click the link belowwww.frankensolar.cz/components/com_media/images/br/index.php Thanks for your help and patience!The all mails drive security Team. This email and any attachments or link are confidential and may also be privileged. If you are not the intended recipient, please delete all copies and notify the sender immediately. You may wish to refer to the incorporation details of googledrive. Hello Sir / madam,The link below contains locked files sent from a google and all mail drives you are not allowed access to the drive, you may wish to sign in and validate your email account. The message would be redirected to your email shortly.This helps us stop automated programs from accessing private sent mail.Please click the link belowwww.frankensolar.cz/components/com_media/images/br/index.phpThanks for your help and patience!The all mails drive security Team.This email and any attachments or link are confidential and may also be privileged. If you are not the intended recipient, please delete all copies and notify the sender immediately. You may wish to refer to the incorporation details of googledrive.</t>
        </is>
      </c>
      <c r="I234" t="inlineStr">
        <is>
          <t>Nazario phishing corpus (J. Nazario); файл Nazario.csv, рядок 130. Champa A. I., Rabbi M. F., Zibran M. F. Phishing Email Curated Datasets. Zenodo, 2023. DOI: 10.5281/zenodo.8339691</t>
        </is>
      </c>
    </row>
    <row r="235">
      <c r="A235" t="n">
        <v>234</v>
      </c>
      <c r="B235" t="inlineStr">
        <is>
          <t>sitara patch. a patch is being released to resolve a problem with updates to prior day
positions in position manager
related to volume feedback ( some updates were held in a queue until later in
the evening ) .
please call the sitara / cpr hotline ( ( 713 ) - 853 - 7049 ) if you have any questions
or problems
with the release .</t>
        </is>
      </c>
      <c r="C235" t="n">
        <v>0</v>
      </c>
      <c r="D235" t="inlineStr"/>
      <c r="E235" t="inlineStr"/>
      <c r="F235" t="inlineStr"/>
      <c r="G235" t="inlineStr">
        <is>
          <t>sitara patch</t>
        </is>
      </c>
      <c r="H235" t="inlineStr">
        <is>
          <t>a patch is being released to resolve a problem with updates to prior day
positions in position manager
related to volume feedback ( some updates were held in a queue until later in
the evening ) .
please call the sitara / cpr hotline ( ( 713 ) - 853 - 7049 ) if you have any questions
or problems
with the release .</t>
        </is>
      </c>
      <c r="I235" t="inlineStr">
        <is>
          <t>Enron (легітимні листи, label 0); файл Enron.csv, рядок 1913. Champa A. I., Rabbi M. F., Zibran M. F. Phishing Email Curated Datasets. Zenodo, 2023. DOI: 10.5281/zenodo.8339691</t>
        </is>
      </c>
    </row>
    <row r="236">
      <c r="A236" t="n">
        <v>235</v>
      </c>
      <c r="B236" t="inlineStr">
        <is>
          <t>re : unify. brent ,
as i have indicated to both sally and beth , this couldn ' t have been
accomplished without the solid partnership with the business and
participation by key individuals from your team .
specifically , jeff sorensen , bob klein , becky ford , laurel adams and melissa
white were key to making this work . this was a ' come from behind ' effort and
there were many nights and weekends that this team shared pizza while
debugging sap and financials system issues . this type of partnership and
commitment is required for success in these types of projects .
kudos to the team for the on - time delivery . let ' s stay focused on making the
transition as smooth as possible !
brent a price @ ect
06 / 29 / 2000 11 : 34 am
to : jefferson d sorenson / hou / ect @ ect , rebecca fordham / lon / ect @ ect , bob
klein / hou / ect @ ect , kenneth m harmon / hou / ect @ ect , steve neal / hou / ect @ ect ,
hoong p foon / hou / ect @ ect , kip martin / hou / ect @ ect , philip r glass / hou / ect @ ect ,
cynthia clark / corp / enron @ enron , richard brockhan / corp / enron @ enron
cc : jeff johnson / corp / enron @ enron , sally beck / hou / ect @ ect
subject : re : unify
thanks for the update . i also want to thank everyone for a job well done .
you all worked great as a team and proved that it projects can be completed
on time and with relatively few problems . unify financial settlements could
serve as an example for future it project implementations .
from : jefferson d sorenson 06 / 28 / 2000 03 : 39 pm
to : brent a price / hou / ect @ ect
cc :
subject : unify
today is the first day for financial settlements to use unify in production
( penultimate settlement ) . we will keep you posted on results .
jeff
- - - - - - - - - - - - - - - - - - - - - - forwarded by jefferson d sorenson / hou / ect on
06 / 28 / 2000 09 : 32 am - - - - - - - - - - - - - - - - - - - - - - - - - - -
rebecca ford
06 / 27 / 2000 06 : 48 pm
to : kenneth m harmon / hou / ect @ ect
cc : cynthia clark / corp / enron @ enron , steve neal / hou / ect @ ect , richard
brockhan / corp / enron @ enron , hoong p foon / hou / ect @ ect , kip martin / hou / ect @ ect ,
philip r glass / hou / ect @ ect , jeff johnson / corp / enron @ enron , bob
klein / hou / ect @ ect , jefferson d sorenson / hou / ect @ ect
subject : unify
hey ken ,
i just wanted to let you know that the financial settlement group were very
impressed with unify during the first training class that we had on friday .
i did not hear any negative comments , and they even said they liked it better
than sift . some of the key areas in which they see great benefit are :
1 . the automatic calculation of in and out of the money options
2 . the statement group assignment screen and the idea of selecting different
statement groups for different payment terms
3 . the ability to sort and subtotal on financial list screen
4 . the system is more efficient than sift
5 . the ability to view the invoice on screeen and to click directly on the
line to make adjustments
6 . the ability to wire foreign currencies ( really and sap enhancement )
one thing that i did hear is that they wished they could see enron north
america and ena global together on the financial list screen .
i think the development group did a great job , and i enjoyed working with
everyone . i hope that in the next few weeks and months ahead that you will
continue to allow the team to provide our group with quick and efficient
response to areas of concern and enhancements .
thank you to the group for all of your hard work ,
becky</t>
        </is>
      </c>
      <c r="C236" t="n">
        <v>0</v>
      </c>
      <c r="D236" t="inlineStr"/>
      <c r="E236" t="inlineStr"/>
      <c r="F236" t="inlineStr"/>
      <c r="G236" t="inlineStr">
        <is>
          <t>re : unify</t>
        </is>
      </c>
      <c r="H236" t="inlineStr">
        <is>
          <t>brent ,
as i have indicated to both sally and beth , this couldn ' t have been
accomplished without the solid partnership with the business and
participation by key individuals from your team .
specifically , jeff sorensen , bob klein , becky ford , laurel adams and melissa
white were key to making this work . this was a ' come from behind ' effort and
there were many nights and weekends that this team shared pizza while
debugging sap and financials system issues . this type of partnership and
commitment is required for success in these types of projects .
kudos to the team for the on - time delivery . let ' s stay focused on making the
transition as smooth as possible !
brent a price @ ect
06 / 29 / 2000 11 : 34 am
to : jefferson d sorenson / hou / ect @ ect , rebecca fordham / lon / ect @ ect , bob
klein / hou / ect @ ect , kenneth m harmon / hou / ect @ ect , steve neal / hou / ect @ ect ,
hoong p foon / hou / ect @ ect , kip martin / hou / ect @ ect , philip r glass / hou / ect @ ect ,
cynthia clark / corp / enron @ enron , richard brockhan / corp / enron @ enron
cc : jeff johnson / corp / enron @ enron , sally beck / hou / ect @ ect
subject : re : unify
thanks for the update . i also want to thank everyone for a job well done .
you all worked great as a team and proved that it projects can be completed
on time and with relatively few problems . unify financial settlements could
serve as an example for future it project implementations .
from : jefferson d sorenson 06 / 28 / 2000 03 : 39 pm
to : brent a price / hou / ect @ ect
cc :
subject : unify
today is the first day for financial settlements to use unify in production
( penultimate settlement ) . we will keep you posted on results .
jeff
- - - - - - - - - - - - - - - - - - - - - - forwarded by jefferson d sorenson / hou / ect on
06 / 28 / 2000 09 : 32 am - - - - - - - - - - - - - - - - - - - - - - - - - - -
rebecca ford
06 / 27 / 2000 06 : 48 pm
to : kenneth m harmon / hou / ect @ ect
cc : cynthia clark / corp / enron @ enron , steve neal / hou / ect @ ect , richard
brockhan / corp / enron @ enron , hoong p foon / hou / ect @ ect , kip martin / hou / ect @ ect ,
philip r glass / hou / ect @ ect , jeff johnson / corp / enron @ enron , bob
klein / hou / ect @ ect , jefferson d sorenson / hou / ect @ ect
subject : unify
hey ken ,
i just wanted to let you know that the financial settlement group were very
impressed with unify during the first training class that we had on friday .
i did not hear any negative comments , and they even said they liked it better
than sift . some of the key areas in which they see great benefit are :
1 . the automatic calculation of in and out of the money options
2 . the statement group assignment screen and the idea of selecting different
statement groups for different payment terms
3 . the ability to sort and subtotal on financial list screen
4 . the system is more efficient than sift
5 . the ability to view the invoice on screeen and to click directly on the
line to make adjustments
6 . the ability to wire foreign currencies ( really and sap enhancement )
one thing that i did hear is that they wished they could see enron north
america and ena global together on the financial list screen .
i think the development group did a great job , and i enjoyed working with
everyone . i hope that in the next few weeks and months ahead that you will
continue to allow the team to provide our group with quick and efficient
response to areas of concern and enhancements .
thank you to the group for all of your hard work ,
becky</t>
        </is>
      </c>
      <c r="I236" t="inlineStr">
        <is>
          <t>Enron (легітимні листи, label 0); файл Enron.csv, рядок 21519. Champa A. I., Rabbi M. F., Zibran M. F. Phishing Email Curated Datasets. Zenodo, 2023. DOI: 10.5281/zenodo.8339691</t>
        </is>
      </c>
    </row>
    <row r="237">
      <c r="A237" t="n">
        <v>236</v>
      </c>
      <c r="B237" t="inlineStr">
        <is>
          <t>request submitted : access request for shona . wilson @ enron . com. you have received this email because the requester specified you as their
manager . please click
approval to review and act upon this request .
request id : 000000000007568
request create date : 11 / 16 / 00 10 : 07 : 41 am
requested for : shona . wilson @ enron . com
resource name : ms project
resource type : applications</t>
        </is>
      </c>
      <c r="C237" t="n">
        <v>0</v>
      </c>
      <c r="D237" t="inlineStr"/>
      <c r="E237" t="inlineStr"/>
      <c r="F237" t="inlineStr"/>
      <c r="G237" t="inlineStr">
        <is>
          <t>request submitted : access request for shona . wilson @ enron . com</t>
        </is>
      </c>
      <c r="H237" t="inlineStr">
        <is>
          <t>you have received this email because the requester specified you as their
manager . please click
approval to review and act upon this request .
request id : 000000000007568
request create date : 11 / 16 / 00 10 : 07 : 41 am
requested for : shona . wilson @ enron . com
resource name : ms project
resource type : applications</t>
        </is>
      </c>
      <c r="I237" t="inlineStr">
        <is>
          <t>Enron (легітимні листи, label 0); файл Enron.csv, рядок 21095. Champa A. I., Rabbi M. F., Zibran M. F. Phishing Email Curated Datasets. Zenodo, 2023. DOI: 10.5281/zenodo.8339691</t>
        </is>
      </c>
    </row>
    <row r="238">
      <c r="A238" t="n">
        <v>237</v>
      </c>
      <c r="B238" t="inlineStr">
        <is>
          <t>Confirming Your Online Gateway Support. Your Online Gateway Support                    	   	    	  Hello, CARD MEMBER    	  Account Activity:    	         	   	    	    	 	  Your Online Gateway Support     We find it necessary to inform you that according to our service support system,  Your American Express online payment gateway details are yet to be updated with our system for a better online experience.     The security of your account is very important to us. Kindly Proceed to review details. Your assured security is our priority.       Thank you for your Card Membership.     American Express Customer Care    	 	    	 	    	 	          Contact Customer Service 	  | 	  View Privacy Statement 	  | 	  Update E-mail Address     ®: Used by Amex under license from American Express.     This is a servicing communication from American Express. You can contact us to verify the authenticity of this e-mail by visiting www.americanexpress.com/contactus.     This e-mail address is not monitored and messages received cannot be responded to.     Note that this e-mail was sent for your account protection. You may receive this e-mail at a different address you have on file with American Express    © 2018 American Express. All rights reserved.                                                                      CANENALENOT0012 	 	          Your Online Gateway Support         Hello, CARD MEMBER   Account Activity:       Your Online Gateway Support   We find it necessary to inform you that according to our service support system, Your American Express online payment gateway details are yet to be updated with our system for a better online experience.   The security of your account is very important to us. Kindly Proceed to review details. Your assured security is our priority.   Thank you for your Card Membership.   American Express Customer Care     Contact Customer Service | View Privacy Statement | Update E-mail Address   ®: Used by Amex under license from American Express.   This is a servicing communication from American Express. You can contact us to verify the authenticity of this e-mail by visiting www.americanexpress.com/contactus.   This e-mail address is not monitored and messages received cannot be responded to.   Note that this e-mail was sent for your account protection. You may receive this e-mail at a different address you have on file with American Express    © 2018 American Express. All rights reserved.                                                                    CANENALENOT0012</t>
        </is>
      </c>
      <c r="C238" t="n">
        <v>1</v>
      </c>
      <c r="D238" t="inlineStr">
        <is>
          <t>"American Express" &lt;wada@atw.ne.jp&gt;</t>
        </is>
      </c>
      <c r="E238" t="inlineStr">
        <is>
          <t>Recipients &lt;wada@atw.ne.jp&gt;</t>
        </is>
      </c>
      <c r="F238" t="inlineStr">
        <is>
          <t>Sun, 24 Jun 2018 01:06:12 +0700</t>
        </is>
      </c>
      <c r="G238" t="inlineStr">
        <is>
          <t>Confirming Your Online Gateway Support</t>
        </is>
      </c>
      <c r="H238" t="inlineStr">
        <is>
          <t>Your Online Gateway Support                    	   	    	  Hello, CARD MEMBER    	  Account Activity:    	         	   	    	    	 	  Your Online Gateway Support     We find it necessary to inform you that according to our service support system,  Your American Express online payment gateway details are yet to be updated with our system for a better online experience.     The security of your account is very important to us. Kindly Proceed to review details. Your assured security is our priority.       Thank you for your Card Membership.     American Express Customer Care    	 	    	 	    	 	          Contact Customer Service 	  | 	  View Privacy Statement 	  | 	  Update E-mail Address     ®: Used by Amex under license from American Express.     This is a servicing communication from American Express. You can contact us to verify the authenticity of this e-mail by visiting www.americanexpress.com/contactus.     This e-mail address is not monitored and messages received cannot be responded to.     Note that this e-mail was sent for your account protection. You may receive this e-mail at a different address you have on file with American Express    © 2018 American Express. All rights reserved.                                                                      CANENALENOT0012 	 	          Your Online Gateway Support         Hello, CARD MEMBER   Account Activity:       Your Online Gateway Support   We find it necessary to inform you that according to our service support system, Your American Express online payment gateway details are yet to be updated with our system for a better online experience.   The security of your account is very important to us. Kindly Proceed to review details. Your assured security is our priority.   Thank you for your Card Membership.   American Express Customer Care     Contact Customer Service | View Privacy Statement | Update E-mail Address   ®: Used by Amex under license from American Express.   This is a servicing communication from American Express. You can contact us to verify the authenticity of this e-mail by visiting www.americanexpress.com/contactus.   This e-mail address is not monitored and messages received cannot be responded to.   Note that this e-mail was sent for your account protection. You may receive this e-mail at a different address you have on file with American Express    © 2018 American Express. All rights reserved.                                                                    CANENALENOT0012</t>
        </is>
      </c>
      <c r="I238" t="inlineStr">
        <is>
          <t>Nazario phishing corpus (J. Nazario); файл Nazario.csv, рядок 807. Champa A. I., Rabbi M. F., Zibran M. F. Phishing Email Curated Datasets. Zenodo, 2023. DOI: 10.5281/zenodo.8339691</t>
        </is>
      </c>
    </row>
    <row r="239">
      <c r="A239" t="n">
        <v>238</v>
      </c>
      <c r="B239" t="inlineStr">
        <is>
          <t>Incident# 31876 - L4 - 1F. Interruption IT Service Notification Take note of this important update that our new web mail has been improved with a new messaging system for outlook which also include extra 10GB usage on email, shared calendar,web-documents and the new 2017 anti-spam version. Please use the link below to complete your update to the new server. CLICK on ADMIN/HELP to update Regards,  IT Service Desk Support.   Interruption IT Service Notification Take note of this important update that our new web mail has been improved with a new messaging system for outlook which also include extra 10GB usage  on email, shared calendar,web-documents and the new 2017 anti-spam version. Please use the link below to complete your update to the new server. CLICK on ADMIN/HELP to  update  Regards,  IT  Service Desk Support.</t>
        </is>
      </c>
      <c r="C239" t="n">
        <v>1</v>
      </c>
      <c r="D239" t="inlineStr">
        <is>
          <t>Deanne Spry &lt;deanne.spry@blood.ca&gt;</t>
        </is>
      </c>
      <c r="E239" t="inlineStr">
        <is>
          <t>Deanne Spry &lt;deanne.spry@blood.ca&gt;</t>
        </is>
      </c>
      <c r="F239" t="inlineStr">
        <is>
          <t>Wed, 7 Jun 2017 15:35:27 +0000</t>
        </is>
      </c>
      <c r="G239" t="inlineStr">
        <is>
          <t>Incident# 31876 - L4 - 1F</t>
        </is>
      </c>
      <c r="H239" t="inlineStr">
        <is>
          <t>Interruption IT Service Notification Take note of this important update that our new web mail has been improved with a new messaging system for outlook which also include extra 10GB usage on email, shared calendar,web-documents and the new 2017 anti-spam version. Please use the link below to complete your update to the new server. CLICK on ADMIN/HELP to update Regards,  IT Service Desk Support.   Interruption IT Service Notification Take note of this important update that our new web mail has been improved with a new messaging system for outlook which also include extra 10GB usage  on email, shared calendar,web-documents and the new 2017 anti-spam version. Please use the link below to complete your update to the new server. CLICK on ADMIN/HELP to  update  Regards,  IT  Service Desk Support.</t>
        </is>
      </c>
      <c r="I239" t="inlineStr">
        <is>
          <t>Nazario phishing corpus (J. Nazario); файл Nazario.csv, рядок 598. Champa A. I., Rabbi M. F., Zibran M. F. Phishing Email Curated Datasets. Zenodo, 2023. DOI: 10.5281/zenodo.8339691</t>
        </is>
      </c>
    </row>
    <row r="240">
      <c r="A240" t="n">
        <v>239</v>
      </c>
      <c r="B240" t="inlineStr">
        <is>
          <t>fw : shipper hold title. fyi , kim .
- - - - - original message - - - - -
from : pavlou , maria
sent : thursday , august 02 , 2001 10 : 18 am
to : paladino , ranelle ; watson , kimberly
subject : re : shipper hold title
i think you are right on . thanks , maria
- - - - - original message - - - - -
from : paladino , ranelle
sent : wednesday , august 01 , 2001 8 : 58 am
to : watson , kimberly
cc : pavlou , maria
subject : re : shipper hold title
yes , it does mean that we are no longer limited on the volume that we can contract for on pnm - - however , we have to use the capacity in accordance with our tariff and rates meaning if the pnm capacity is subject to recall ( which i thought was the commission ' s concern in the pnm order last year ) then we can ' t use that capacity to sell firm service ( not subject to recall ) on our system . i don ' t think we are relieved of our reporting requirements either that were required in the pnm order . maria - - please comment if you think i have interpreted this incorrectly .
ranelle
- - - - - original message - - - - -
from : watson , kimberly
sent : wednesday , august 01 , 2001 8 : 48 am
to : paladino , ranelle
subject : re : shipper hold title
ranelle ,
does this mean that we are no longer limited on the volume that we previously were limited to on pnm ?
i ' m very glad that this passed . thank you for your help ! kim .
- - - - - original message - - - - -
from : paladino , ranelle
sent : wednesday , august 01 , 2001 8 : 19 am
to : watson , kimberly ; miller , kent
subject : shipper hold title
just in case you didn ' t hear , both nng and tw received approval to acquire third party capacity . the orders came in last night approving the tariff sheets as we filed them . if you would like to see the language that will be in the tariff , send me a note back and i can get it to you . we specifically didn ' t limit ourselves to just interstate pipeline capacity in the wording that we used - - in tw ' s tariff , we deleted any reference to limiting the amount of pnm capacity that could be purchased . thanks for your help with this .
ranelle</t>
        </is>
      </c>
      <c r="C240" t="n">
        <v>0</v>
      </c>
      <c r="D240" t="inlineStr"/>
      <c r="E240" t="inlineStr"/>
      <c r="F240" t="inlineStr"/>
      <c r="G240" t="inlineStr">
        <is>
          <t>fw : shipper hold title</t>
        </is>
      </c>
      <c r="H240" t="inlineStr">
        <is>
          <t>fyi , kim .
- - - - - original message - - - - -
from : pavlou , maria
sent : thursday , august 02 , 2001 10 : 18 am
to : paladino , ranelle ; watson , kimberly
subject : re : shipper hold title
i think you are right on . thanks , maria
- - - - - original message - - - - -
from : paladino , ranelle
sent : wednesday , august 01 , 2001 8 : 58 am
to : watson , kimberly
cc : pavlou , maria
subject : re : shipper hold title
yes , it does mean that we are no longer limited on the volume that we can contract for on pnm - - however , we have to use the capacity in accordance with our tariff and rates meaning if the pnm capacity is subject to recall ( which i thought was the commission ' s concern in the pnm order last year ) then we can ' t use that capacity to sell firm service ( not subject to recall ) on our system . i don ' t think we are relieved of our reporting requirements either that were required in the pnm order . maria - - please comment if you think i have interpreted this incorrectly .
ranelle
- - - - - original message - - - - -
from : watson , kimberly
sent : wednesday , august 01 , 2001 8 : 48 am
to : paladino , ranelle
subject : re : shipper hold title
ranelle ,
does this mean that we are no longer limited on the volume that we previously were limited to on pnm ?
i ' m very glad that this passed . thank you for your help ! kim .
- - - - - original message - - - - -
from : paladino , ranelle
sent : wednesday , august 01 , 2001 8 : 19 am
to : watson , kimberly ; miller , kent
subject : shipper hold title
just in case you didn ' t hear , both nng and tw received approval to acquire third party capacity . the orders came in last night approving the tariff sheets as we filed them . if you would like to see the language that will be in the tariff , send me a note back and i can get it to you . we specifically didn ' t limit ourselves to just interstate pipeline capacity in the wording that we used - - in tw ' s tariff , we deleted any reference to limiting the amount of pnm capacity that could be purchased . thanks for your help with this .
ranelle</t>
        </is>
      </c>
      <c r="I240" t="inlineStr">
        <is>
          <t>Enron (легітимні листи, label 0); файл Enron.csv, рядок 24626. Champa A. I., Rabbi M. F., Zibran M. F. Phishing Email Curated Datasets. Zenodo, 2023. DOI: 10.5281/zenodo.8339691</t>
        </is>
      </c>
    </row>
    <row r="241">
      <c r="A241" t="n">
        <v>240</v>
      </c>
      <c r="B241" t="inlineStr">
        <is>
          <t>forgot the attachment. sally ,
i forgot to attach the list of students coming to nape .
let me know if you have trouble opening it .
have a good weekend .
ted k . jacobs
director of energy management
the university of oklahoma
307 west brooks room 218
norman , ok 73019 - 4007
( 405 ) 325 - 0758
( 405 ) 325 - 2096 fax
e - mail : tjacobs @ ou . edu
website : www . ou . edu / business / em
- c . dtf</t>
        </is>
      </c>
      <c r="C241" t="n">
        <v>0</v>
      </c>
      <c r="D241" t="inlineStr"/>
      <c r="E241" t="inlineStr"/>
      <c r="F241" t="inlineStr"/>
      <c r="G241" t="inlineStr">
        <is>
          <t>forgot the attachment</t>
        </is>
      </c>
      <c r="H241" t="inlineStr">
        <is>
          <t>sally ,
i forgot to attach the list of students coming to nape .
let me know if you have trouble opening it .
have a good weekend .
ted k . jacobs
director of energy management
the university of oklahoma
307 west brooks room 218
norman , ok 73019 - 4007
( 405 ) 325 - 0758
( 405 ) 325 - 2096 fax
e - mail : tjacobs @ ou . edu
website : www . ou . edu / business / em
- c . dtf</t>
        </is>
      </c>
      <c r="I241" t="inlineStr">
        <is>
          <t>Enron (легітимні листи, label 0); файл Enron.csv, рядок 22334. Champa A. I., Rabbi M. F., Zibran M. F. Phishing Email Curated Datasets. Zenodo, 2023. DOI: 10.5281/zenodo.8339691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2026-10-08T12:27:34Z</dcterms:created>
  <dcterms:modified xmlns:dcterms="http://purl.org/dc/terms/" xmlns:xsi="http://www.w3.org/2001/XMLSchema-instance" xsi:type="dcterms:W3CDTF">2026-10-08T12:27:34Z</dcterms:modified>
</cp:coreProperties>
</file>